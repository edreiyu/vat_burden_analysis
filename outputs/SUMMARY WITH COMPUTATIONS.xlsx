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eiyu/Documents/Projects/vat_burden_analysis/outputs/"/>
    </mc:Choice>
  </mc:AlternateContent>
  <xr:revisionPtr revIDLastSave="0" documentId="13_ncr:1_{7CBCB40A-36B7-9141-BA36-8ED34F850350}" xr6:coauthVersionLast="47" xr6:coauthVersionMax="47" xr10:uidLastSave="{00000000-0000-0000-0000-000000000000}"/>
  <bookViews>
    <workbookView xWindow="3200" yWindow="500" windowWidth="24100" windowHeight="19480" firstSheet="2" activeTab="8" xr2:uid="{EE8D4940-C3F8-D340-AF33-192918B31EA6}"/>
  </bookViews>
  <sheets>
    <sheet name="tax_share" sheetId="1" r:id="rId1"/>
    <sheet name="tax_share_bydecile" sheetId="5" r:id="rId2"/>
    <sheet name="budget_share" sheetId="7" r:id="rId3"/>
    <sheet name="main_summary" sheetId="3" r:id="rId4"/>
    <sheet name="exempt_by_category" sheetId="4" r:id="rId5"/>
    <sheet name="vat_paid_and_foregone" sheetId="6" r:id="rId6"/>
    <sheet name="senior_summary" sheetId="8" r:id="rId7"/>
    <sheet name="main_summary-xx" sheetId="2" r:id="rId8"/>
    <sheet name="Sheet1" sheetId="9" r:id="rId9"/>
    <sheet name="EXEMPT CA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7" l="1"/>
  <c r="D37" i="7" s="1"/>
  <c r="D36" i="7"/>
  <c r="D35" i="7"/>
  <c r="D34" i="7"/>
  <c r="D33" i="7"/>
  <c r="D32" i="7"/>
  <c r="D30" i="7"/>
  <c r="D29" i="7"/>
  <c r="Q12" i="7"/>
  <c r="Q13" i="7" s="1"/>
  <c r="P12" i="7"/>
  <c r="O12" i="7"/>
  <c r="N12" i="7"/>
  <c r="M12" i="7"/>
  <c r="L12" i="7"/>
  <c r="K12" i="7"/>
  <c r="J12" i="7"/>
  <c r="J13" i="7" s="1"/>
  <c r="I12" i="7"/>
  <c r="I13" i="7" s="1"/>
  <c r="H12" i="7"/>
  <c r="H13" i="7" s="1"/>
  <c r="G12" i="7"/>
  <c r="G13" i="7" s="1"/>
  <c r="F12" i="7"/>
  <c r="E12" i="7"/>
  <c r="E13" i="7" s="1"/>
  <c r="D12" i="7"/>
  <c r="D13" i="7" s="1"/>
  <c r="C12" i="7"/>
  <c r="B12" i="7"/>
  <c r="E12" i="4"/>
  <c r="D12" i="4"/>
  <c r="C12" i="4"/>
  <c r="B12" i="4"/>
  <c r="M12" i="4"/>
  <c r="L12" i="4"/>
  <c r="K12" i="4"/>
  <c r="J12" i="4"/>
  <c r="I12" i="4"/>
  <c r="H12" i="4"/>
  <c r="G12" i="4"/>
  <c r="F12" i="4"/>
  <c r="Q13" i="6"/>
  <c r="P13" i="6"/>
  <c r="S12" i="6"/>
  <c r="S11" i="6"/>
  <c r="S10" i="6"/>
  <c r="S9" i="6"/>
  <c r="S8" i="6"/>
  <c r="S7" i="6"/>
  <c r="S6" i="6"/>
  <c r="S5" i="6"/>
  <c r="S4" i="6"/>
  <c r="S3" i="6"/>
  <c r="O12" i="5"/>
  <c r="N12" i="5"/>
  <c r="F18" i="4"/>
  <c r="G18" i="4"/>
  <c r="H18" i="4"/>
  <c r="I18" i="4"/>
  <c r="J18" i="4"/>
  <c r="K18" i="4"/>
  <c r="L18" i="4"/>
  <c r="M18" i="4"/>
  <c r="F19" i="4"/>
  <c r="G19" i="4"/>
  <c r="H19" i="4"/>
  <c r="I19" i="4"/>
  <c r="J19" i="4"/>
  <c r="K19" i="4"/>
  <c r="L19" i="4"/>
  <c r="M19" i="4"/>
  <c r="F20" i="4"/>
  <c r="G20" i="4"/>
  <c r="H20" i="4"/>
  <c r="I20" i="4"/>
  <c r="J20" i="4"/>
  <c r="K20" i="4"/>
  <c r="L20" i="4"/>
  <c r="M20" i="4"/>
  <c r="F21" i="4"/>
  <c r="G21" i="4"/>
  <c r="H21" i="4"/>
  <c r="I21" i="4"/>
  <c r="J21" i="4"/>
  <c r="K21" i="4"/>
  <c r="L21" i="4"/>
  <c r="M21" i="4"/>
  <c r="F22" i="4"/>
  <c r="G22" i="4"/>
  <c r="H22" i="4"/>
  <c r="I22" i="4"/>
  <c r="J22" i="4"/>
  <c r="K22" i="4"/>
  <c r="L22" i="4"/>
  <c r="M22" i="4"/>
  <c r="F23" i="4"/>
  <c r="G23" i="4"/>
  <c r="H23" i="4"/>
  <c r="I23" i="4"/>
  <c r="J23" i="4"/>
  <c r="K23" i="4"/>
  <c r="L23" i="4"/>
  <c r="M23" i="4"/>
  <c r="F24" i="4"/>
  <c r="G24" i="4"/>
  <c r="H24" i="4"/>
  <c r="I24" i="4"/>
  <c r="J24" i="4"/>
  <c r="K24" i="4"/>
  <c r="L24" i="4"/>
  <c r="M24" i="4"/>
  <c r="F25" i="4"/>
  <c r="G25" i="4"/>
  <c r="H25" i="4"/>
  <c r="I25" i="4"/>
  <c r="J25" i="4"/>
  <c r="K25" i="4"/>
  <c r="L25" i="4"/>
  <c r="M25" i="4"/>
  <c r="F26" i="4"/>
  <c r="G26" i="4"/>
  <c r="H26" i="4"/>
  <c r="I26" i="4"/>
  <c r="J26" i="4"/>
  <c r="K26" i="4"/>
  <c r="L26" i="4"/>
  <c r="M26" i="4"/>
  <c r="G17" i="4"/>
  <c r="H17" i="4"/>
  <c r="I17" i="4"/>
  <c r="J17" i="4"/>
  <c r="K17" i="4"/>
  <c r="L17" i="4"/>
  <c r="M17" i="4"/>
  <c r="F17" i="4"/>
  <c r="V11" i="4"/>
  <c r="V2" i="4"/>
  <c r="G14" i="2"/>
  <c r="F14" i="2"/>
  <c r="E14" i="2"/>
  <c r="D14" i="2"/>
  <c r="G15" i="2"/>
  <c r="F15" i="2"/>
  <c r="E15" i="2"/>
  <c r="D15" i="2"/>
  <c r="C15" i="2"/>
  <c r="C14" i="2"/>
  <c r="G13" i="2"/>
  <c r="F13" i="2"/>
  <c r="E13" i="2"/>
  <c r="D13" i="2"/>
  <c r="C13" i="2"/>
  <c r="B13" i="2"/>
  <c r="L14" i="2"/>
  <c r="J14" i="2"/>
  <c r="G17" i="2"/>
  <c r="F17" i="2"/>
  <c r="N4" i="1"/>
  <c r="N5" i="1"/>
  <c r="N6" i="1"/>
  <c r="N7" i="1"/>
  <c r="N8" i="1"/>
  <c r="N9" i="1"/>
  <c r="N10" i="1"/>
  <c r="N11" i="1"/>
  <c r="N12" i="1"/>
  <c r="N3" i="1"/>
  <c r="P13" i="7" l="1"/>
  <c r="O13" i="7"/>
  <c r="K13" i="7"/>
  <c r="M13" i="7"/>
  <c r="F13" i="7"/>
  <c r="C13" i="7"/>
  <c r="N13" i="7"/>
  <c r="L1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</author>
    <author>tc={8C6BB57B-27B5-5A4F-8438-7F8706399291}</author>
  </authors>
  <commentList>
    <comment ref="H1" authorId="0" shapeId="0" xr:uid="{AE4240B5-AC1C-0F43-AA0E-3B4FB9D08204}">
      <text>
        <r>
          <rPr>
            <b/>
            <sz val="10"/>
            <color rgb="FF000000"/>
            <rFont val="Tahoma"/>
            <family val="2"/>
          </rPr>
          <t>EU: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Average of ratios by decile</t>
        </r>
      </text>
    </comment>
    <comment ref="J1" authorId="0" shapeId="0" xr:uid="{34D74EF3-418C-004C-AD8C-2DDE44588179}">
      <text>
        <r>
          <rPr>
            <b/>
            <sz val="10"/>
            <color rgb="FF000000"/>
            <rFont val="Tahoma"/>
            <family val="2"/>
          </rPr>
          <t>EU: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vat paid / total expenditures</t>
        </r>
      </text>
    </comment>
    <comment ref="K1" authorId="1" shapeId="0" xr:uid="{8C6BB57B-27B5-5A4F-8438-7F8706399291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vat foregone / total expenditures</t>
      </text>
    </comment>
  </commentList>
</comments>
</file>

<file path=xl/sharedStrings.xml><?xml version="1.0" encoding="utf-8"?>
<sst xmlns="http://schemas.openxmlformats.org/spreadsheetml/2006/main" count="1177" uniqueCount="1107">
  <si>
    <t>NPCINC</t>
  </si>
  <si>
    <t>number_households</t>
  </si>
  <si>
    <t>total_income</t>
  </si>
  <si>
    <t>total_HH_expenditures</t>
  </si>
  <si>
    <t>vatable_expenditures</t>
  </si>
  <si>
    <t>exempt_expenditures</t>
  </si>
  <si>
    <t>total_expenditures</t>
  </si>
  <si>
    <t>vatable_share_exp</t>
  </si>
  <si>
    <t>exempt_share_exp</t>
  </si>
  <si>
    <t>vatable_share_income</t>
  </si>
  <si>
    <t>exempt_share_income</t>
  </si>
  <si>
    <t>vatable_share_HHexp</t>
  </si>
  <si>
    <t>exempt_share_HHexp</t>
  </si>
  <si>
    <t>Average_monthly_perHH</t>
  </si>
  <si>
    <t>Share to FIES expenditure</t>
  </si>
  <si>
    <t>Share to FIES income</t>
  </si>
  <si>
    <t>Share to computed total expenditure (vatable + exempt)</t>
  </si>
  <si>
    <t>Total monthly vatable spending</t>
  </si>
  <si>
    <t>Total exempt vatable spending</t>
  </si>
  <si>
    <t>total_vatable_expenditures</t>
  </si>
  <si>
    <t>total_exempt_expenditures</t>
  </si>
  <si>
    <t>total_vat_paid</t>
  </si>
  <si>
    <t>total_vat_foregone</t>
  </si>
  <si>
    <t>weighted_sum_vat_etr</t>
  </si>
  <si>
    <t>weighted_sum_foregone_etr</t>
  </si>
  <si>
    <t>population_vat_etr</t>
  </si>
  <si>
    <t>population_vat_foregone_etr</t>
  </si>
  <si>
    <t>avg_vat_etr</t>
  </si>
  <si>
    <t>avg_vat_foregone_etr</t>
  </si>
  <si>
    <t>population adjusted</t>
  </si>
  <si>
    <t>vatable + exempt</t>
  </si>
  <si>
    <t>vatable * 12%</t>
  </si>
  <si>
    <t>exempt * 12%</t>
  </si>
  <si>
    <t>vat_paid_to_total_expenditures * sum (RFACT)</t>
  </si>
  <si>
    <t>total_vat_paid / total_expenditures * 100</t>
  </si>
  <si>
    <t>weighted_sum_vat_etr / number_households</t>
  </si>
  <si>
    <t>I want to get the etr for each HH (or ROW), then get the average = average ETR</t>
  </si>
  <si>
    <t xml:space="preserve">or </t>
  </si>
  <si>
    <t>simple get the average ETR per decile / also check min and max of ETR range</t>
  </si>
  <si>
    <t>Total monthly</t>
  </si>
  <si>
    <t>Total annual</t>
  </si>
  <si>
    <t>billions</t>
  </si>
  <si>
    <t>sum_vat_etr</t>
  </si>
  <si>
    <t>sum_vat_foregone_etr</t>
  </si>
  <si>
    <t>food_exempt</t>
  </si>
  <si>
    <t>housing_&amp;utilities_exempt</t>
  </si>
  <si>
    <t>furnishings_&amp;maintenance_exempt</t>
  </si>
  <si>
    <t>health_exempt</t>
  </si>
  <si>
    <t>transport_exempt</t>
  </si>
  <si>
    <t>recreation_exempt</t>
  </si>
  <si>
    <t>education_exempt</t>
  </si>
  <si>
    <t>insurance_&amp;financial_exempt</t>
  </si>
  <si>
    <t>food_exempt_share</t>
  </si>
  <si>
    <t>housing_&amp;utilities_exempt_share</t>
  </si>
  <si>
    <t>furnishings_&amp;maintenance_exempt_share</t>
  </si>
  <si>
    <t>health_exempt_share</t>
  </si>
  <si>
    <t>transport_exempt_share</t>
  </si>
  <si>
    <t>recreation_exempt_share</t>
  </si>
  <si>
    <t>education_exempt_share</t>
  </si>
  <si>
    <t>insurance_&amp;financial_exempt_share</t>
  </si>
  <si>
    <t>in contrast, the share of exempt food spending for the richest decile is only 14% of their total expenditures</t>
  </si>
  <si>
    <t>So the poor benefits more from vat exemption on food.</t>
  </si>
  <si>
    <t>56% of total expenditures of poorest HH are exempt from VAT</t>
  </si>
  <si>
    <t>NOTES</t>
  </si>
  <si>
    <t>vatable_share_decile</t>
  </si>
  <si>
    <t>exempt_share_decile</t>
  </si>
  <si>
    <t>estimated_vat_paid</t>
  </si>
  <si>
    <t>estimated_vat_foregone</t>
  </si>
  <si>
    <t>effective_vat_rate</t>
  </si>
  <si>
    <t>This is monthly</t>
  </si>
  <si>
    <t>food</t>
  </si>
  <si>
    <t>alcohol_&amp;cigarettes</t>
  </si>
  <si>
    <t>clothing</t>
  </si>
  <si>
    <t>housing_&amp;utilities</t>
  </si>
  <si>
    <t>furnishings_&amp;maintenance</t>
  </si>
  <si>
    <t>health</t>
  </si>
  <si>
    <t>transport</t>
  </si>
  <si>
    <t>ict_&amp;equipments</t>
  </si>
  <si>
    <t>recreation</t>
  </si>
  <si>
    <t>education</t>
  </si>
  <si>
    <t>resto_&amp;accomodation</t>
  </si>
  <si>
    <t>insurance_&amp;financial</t>
  </si>
  <si>
    <t>personal_care</t>
  </si>
  <si>
    <t>family_occasions</t>
  </si>
  <si>
    <t>food_share</t>
  </si>
  <si>
    <t>alcohol_&amp;cigarettes_share</t>
  </si>
  <si>
    <t>clothing_share</t>
  </si>
  <si>
    <t>housing_&amp;utilities_share</t>
  </si>
  <si>
    <t>furnishings_&amp;maintenance_share</t>
  </si>
  <si>
    <t>health_share</t>
  </si>
  <si>
    <t>transport_share</t>
  </si>
  <si>
    <t>ict_&amp;equipments_share</t>
  </si>
  <si>
    <t>recreation_share</t>
  </si>
  <si>
    <t>education_share</t>
  </si>
  <si>
    <t>resto_&amp;accomodation_share</t>
  </si>
  <si>
    <t>insurance_&amp;financial_share</t>
  </si>
  <si>
    <t>personal_care_share</t>
  </si>
  <si>
    <t>family_occasions_share</t>
  </si>
  <si>
    <t>Ratio of the VAT paid to total expenditures</t>
  </si>
  <si>
    <t>The ETR rises as income rises</t>
  </si>
  <si>
    <t>the share of exempt food spending for the poorest decile is 40% of their total EXEMPT expenditures</t>
  </si>
  <si>
    <t>SHARE OF TOTAL EXEMPT SPENDING</t>
  </si>
  <si>
    <t xml:space="preserve">A REDUCTION IN VAT RATE DOES NOT BENEFIT THE POOR (RELATIVE TO RICHER HH) </t>
  </si>
  <si>
    <t>SINCE MOST OF THEIR SPENDING ARE ALREADY EXEMPT</t>
  </si>
  <si>
    <t>Half of total spending of the richest decile are exempt from VAT</t>
  </si>
  <si>
    <t>number_households_with_seniors</t>
  </si>
  <si>
    <t>number_seniors</t>
  </si>
  <si>
    <t>weighted_number_seniors</t>
  </si>
  <si>
    <t>Breakdown of the total HH spending on VAT exempt goods/services</t>
  </si>
  <si>
    <t>TOTAL</t>
  </si>
  <si>
    <t>Rentals actually paid by tenants or subtenants occupying unfurnished premises as their main residence (Total)</t>
  </si>
  <si>
    <t>Rentals actually paid by tenants or subtenants occupying furnished premises as their main residence (Total)</t>
  </si>
  <si>
    <t>Imputed rentals of owner-occupiers for main residence (Own or owner-like possession) (Total)</t>
  </si>
  <si>
    <t>Other imputed rentals (e.g. Imputed rentals for secondary residences, garage in connection with the dwelling, and storage units) (Total)</t>
  </si>
  <si>
    <t>421000 Imputed rentals of owner-occupiers for main residence (Own or owner-like possession) (Total)</t>
  </si>
  <si>
    <t>422000 Other imputed rentals (e.g. Imputed rentals for secondary residences, garage in connection with the dwelling, and storage units) (Total)</t>
  </si>
  <si>
    <t>411020 Payments by households occupying a room in a hotel or boarding house as their main residence. (Total)</t>
  </si>
  <si>
    <t>411090 Other actual rentals paid by tenants for main residence, n.e.c. (Total)</t>
  </si>
  <si>
    <t>412100 Actual rentals paid by tenants for secondary residences (Total)</t>
  </si>
  <si>
    <t>412200 Garage rentals and other rentals paid by tenants (e.g. parking lot in connection with the dwelling as main residence and other garage rentals, n.e.c.) (Total)</t>
  </si>
  <si>
    <t>411011 Rentals actually paid by tenants or subtenants occupying unfurnished premises as their main residence (Total)</t>
  </si>
  <si>
    <t>411012 Rentals actually paid by tenants or subtenants occupying furnished premises as their main residence (Total)</t>
  </si>
  <si>
    <t># NOTES</t>
  </si>
  <si>
    <r>
      <t>total_421000</t>
    </r>
    <r>
      <rPr>
        <sz val="12"/>
        <rFont val="Menlo"/>
        <family val="2"/>
      </rPr>
      <t xml:space="preserve"> = fies_raw['TOTAL_421000'].sum()</t>
    </r>
  </si>
  <si>
    <r>
      <t>total_422000</t>
    </r>
    <r>
      <rPr>
        <sz val="12"/>
        <rFont val="Menlo"/>
        <family val="2"/>
      </rPr>
      <t xml:space="preserve"> = fies_raw['TOTAL_422000'].sum()</t>
    </r>
  </si>
  <si>
    <r>
      <t>total_totex</t>
    </r>
    <r>
      <rPr>
        <sz val="12"/>
        <rFont val="Menlo"/>
        <family val="2"/>
      </rPr>
      <t xml:space="preserve"> = fies_raw['TOTEX'].sum()</t>
    </r>
  </si>
  <si>
    <r>
      <t>total_411011</t>
    </r>
    <r>
      <rPr>
        <sz val="12"/>
        <rFont val="Menlo"/>
        <family val="2"/>
      </rPr>
      <t xml:space="preserve"> = fies_raw['TOTAL_411011'].sum()</t>
    </r>
  </si>
  <si>
    <r>
      <t>total_411012</t>
    </r>
    <r>
      <rPr>
        <sz val="12"/>
        <rFont val="Menlo"/>
        <family val="2"/>
      </rPr>
      <t xml:space="preserve"> = fies_raw['TOTAL_411012'].sum()</t>
    </r>
  </si>
  <si>
    <r>
      <t>total_411020</t>
    </r>
    <r>
      <rPr>
        <sz val="12"/>
        <rFont val="Menlo"/>
        <family val="2"/>
      </rPr>
      <t xml:space="preserve"> = fies_raw['TOTAL_411020'].sum()</t>
    </r>
  </si>
  <si>
    <r>
      <t>total_411090</t>
    </r>
    <r>
      <rPr>
        <sz val="12"/>
        <rFont val="Menlo"/>
        <family val="2"/>
      </rPr>
      <t xml:space="preserve"> = fies_raw['TOTAL_411090'].sum()</t>
    </r>
  </si>
  <si>
    <r>
      <t>total_412100</t>
    </r>
    <r>
      <rPr>
        <sz val="12"/>
        <rFont val="Menlo"/>
        <family val="2"/>
      </rPr>
      <t xml:space="preserve"> = fies_raw['TOTAL_412100'].sum()</t>
    </r>
  </si>
  <si>
    <r>
      <t>total_412200</t>
    </r>
    <r>
      <rPr>
        <sz val="12"/>
        <rFont val="Menlo"/>
        <family val="2"/>
      </rPr>
      <t xml:space="preserve"> = fies_raw['TOTAL_412200'].sum()</t>
    </r>
  </si>
  <si>
    <t>['0111165'</t>
  </si>
  <si>
    <t xml:space="preserve"> '0111190'</t>
  </si>
  <si>
    <t xml:space="preserve"> '0111210'</t>
  </si>
  <si>
    <t xml:space="preserve"> '0111290'</t>
  </si>
  <si>
    <t xml:space="preserve"> '0111220'</t>
  </si>
  <si>
    <t xml:space="preserve"> '0111261'</t>
  </si>
  <si>
    <t xml:space="preserve"> '0111269'</t>
  </si>
  <si>
    <t xml:space="preserve"> '0111311'</t>
  </si>
  <si>
    <t xml:space="preserve"> '0111312'</t>
  </si>
  <si>
    <t xml:space="preserve"> '0111313'</t>
  </si>
  <si>
    <t xml:space="preserve"> '0111314'</t>
  </si>
  <si>
    <t xml:space="preserve"> '0111319'</t>
  </si>
  <si>
    <t xml:space="preserve"> '0111392'</t>
  </si>
  <si>
    <t xml:space="preserve"> '0111393'</t>
  </si>
  <si>
    <t xml:space="preserve"> '0111394'</t>
  </si>
  <si>
    <t xml:space="preserve"> '0111399'</t>
  </si>
  <si>
    <t xml:space="preserve"> '0111401'</t>
  </si>
  <si>
    <t xml:space="preserve"> '0111409'</t>
  </si>
  <si>
    <t xml:space="preserve"> '0111501'</t>
  </si>
  <si>
    <t xml:space="preserve"> '0111502'</t>
  </si>
  <si>
    <t xml:space="preserve"> '0111503'</t>
  </si>
  <si>
    <t xml:space="preserve"> '0111509'</t>
  </si>
  <si>
    <t xml:space="preserve"> '0111901'</t>
  </si>
  <si>
    <t xml:space="preserve"> '0111903'</t>
  </si>
  <si>
    <t xml:space="preserve"> '0111904'</t>
  </si>
  <si>
    <t xml:space="preserve"> '0111909'</t>
  </si>
  <si>
    <t xml:space="preserve"> '0112511'</t>
  </si>
  <si>
    <t xml:space="preserve"> '0112512'</t>
  </si>
  <si>
    <t xml:space="preserve"> '0112513'</t>
  </si>
  <si>
    <t xml:space="preserve"> '0112514'</t>
  </si>
  <si>
    <t xml:space="preserve"> '0112521'</t>
  </si>
  <si>
    <t xml:space="preserve"> '0112522'</t>
  </si>
  <si>
    <t xml:space="preserve"> '0112530'</t>
  </si>
  <si>
    <t xml:space="preserve"> '0112590'</t>
  </si>
  <si>
    <t xml:space="preserve"> '0113300'</t>
  </si>
  <si>
    <t xml:space="preserve"> '0113600'</t>
  </si>
  <si>
    <t xml:space="preserve"> '0113700'</t>
  </si>
  <si>
    <t xml:space="preserve"> '0114100'</t>
  </si>
  <si>
    <t xml:space="preserve"> '0114200'</t>
  </si>
  <si>
    <t xml:space="preserve"> '0114311'</t>
  </si>
  <si>
    <t xml:space="preserve"> '0114312'</t>
  </si>
  <si>
    <t xml:space="preserve"> '0114321'</t>
  </si>
  <si>
    <t xml:space="preserve"> '0114329'</t>
  </si>
  <si>
    <t xml:space="preserve"> '0114330'</t>
  </si>
  <si>
    <t xml:space="preserve"> '0114390'</t>
  </si>
  <si>
    <t xml:space="preserve"> '0114410'</t>
  </si>
  <si>
    <t xml:space="preserve"> '0114430'</t>
  </si>
  <si>
    <t xml:space="preserve"> '0114490'</t>
  </si>
  <si>
    <t xml:space="preserve"> '0114420'</t>
  </si>
  <si>
    <t xml:space="preserve"> '0114440'</t>
  </si>
  <si>
    <t xml:space="preserve"> '0114450'</t>
  </si>
  <si>
    <t xml:space="preserve"> '0114501'</t>
  </si>
  <si>
    <t xml:space="preserve"> '0114503'</t>
  </si>
  <si>
    <t xml:space="preserve"> '0114504'</t>
  </si>
  <si>
    <t xml:space="preserve"> '0114509'</t>
  </si>
  <si>
    <t xml:space="preserve"> '0114505'</t>
  </si>
  <si>
    <t xml:space="preserve"> '0114502'</t>
  </si>
  <si>
    <t xml:space="preserve"> '0114600'</t>
  </si>
  <si>
    <t xml:space="preserve"> '0114700'</t>
  </si>
  <si>
    <t xml:space="preserve"> '0114890'</t>
  </si>
  <si>
    <t xml:space="preserve"> '0114900'</t>
  </si>
  <si>
    <t xml:space="preserve"> '0115120'</t>
  </si>
  <si>
    <t xml:space="preserve"> '0115130'</t>
  </si>
  <si>
    <t xml:space="preserve"> '0115160'</t>
  </si>
  <si>
    <t xml:space="preserve"> '0115170'</t>
  </si>
  <si>
    <t xml:space="preserve"> '0115190'</t>
  </si>
  <si>
    <t xml:space="preserve"> '0115110'</t>
  </si>
  <si>
    <t xml:space="preserve"> '0115140'</t>
  </si>
  <si>
    <t xml:space="preserve"> '0115150'</t>
  </si>
  <si>
    <t xml:space="preserve"> '0115192'</t>
  </si>
  <si>
    <t xml:space="preserve"> '0115200'</t>
  </si>
  <si>
    <t xml:space="preserve"> '0115300'</t>
  </si>
  <si>
    <t xml:space="preserve"> '0115900'</t>
  </si>
  <si>
    <t xml:space="preserve"> '0116600'</t>
  </si>
  <si>
    <t xml:space="preserve"> '0116791'</t>
  </si>
  <si>
    <t xml:space="preserve"> '0116792'</t>
  </si>
  <si>
    <t xml:space="preserve"> '0116790'</t>
  </si>
  <si>
    <t xml:space="preserve"> '0116793'</t>
  </si>
  <si>
    <t xml:space="preserve"> '0116794'</t>
  </si>
  <si>
    <t xml:space="preserve"> '0116795'</t>
  </si>
  <si>
    <t xml:space="preserve"> '0116797'</t>
  </si>
  <si>
    <t xml:space="preserve"> '0116798'</t>
  </si>
  <si>
    <t xml:space="preserve"> '0116720'</t>
  </si>
  <si>
    <t xml:space="preserve"> '0116710'</t>
  </si>
  <si>
    <t xml:space="preserve"> '0116820'</t>
  </si>
  <si>
    <t xml:space="preserve"> '0116880'</t>
  </si>
  <si>
    <t xml:space="preserve"> '0116890'</t>
  </si>
  <si>
    <t xml:space="preserve"> '0116840'</t>
  </si>
  <si>
    <t xml:space="preserve"> '0116850'</t>
  </si>
  <si>
    <t xml:space="preserve"> '0116860'</t>
  </si>
  <si>
    <t xml:space="preserve"> '0116810'</t>
  </si>
  <si>
    <t xml:space="preserve"> '0116830'</t>
  </si>
  <si>
    <t xml:space="preserve"> '0116910'</t>
  </si>
  <si>
    <t xml:space="preserve"> '0116920'</t>
  </si>
  <si>
    <t xml:space="preserve"> '0116930'</t>
  </si>
  <si>
    <t xml:space="preserve"> '0116990'</t>
  </si>
  <si>
    <t xml:space="preserve"> '0117700'</t>
  </si>
  <si>
    <t xml:space="preserve"> '0117800'</t>
  </si>
  <si>
    <t xml:space="preserve"> '0117942'</t>
  </si>
  <si>
    <t xml:space="preserve"> '0117943'</t>
  </si>
  <si>
    <t xml:space="preserve"> '0117950'</t>
  </si>
  <si>
    <t xml:space="preserve"> '0117971'</t>
  </si>
  <si>
    <t xml:space="preserve"> '0117972'</t>
  </si>
  <si>
    <t xml:space="preserve"> '0117973'</t>
  </si>
  <si>
    <t xml:space="preserve"> '0117992'</t>
  </si>
  <si>
    <t xml:space="preserve"> '0117990'</t>
  </si>
  <si>
    <t xml:space="preserve"> '0117911'</t>
  </si>
  <si>
    <t xml:space="preserve"> '0117920'</t>
  </si>
  <si>
    <t xml:space="preserve"> '0117930'</t>
  </si>
  <si>
    <t xml:space="preserve"> '0117960'</t>
  </si>
  <si>
    <t xml:space="preserve"> '0117974'</t>
  </si>
  <si>
    <t xml:space="preserve"> '0117975'</t>
  </si>
  <si>
    <t xml:space="preserve"> '0117976'</t>
  </si>
  <si>
    <t xml:space="preserve"> '0117944'</t>
  </si>
  <si>
    <t xml:space="preserve"> '0118111'</t>
  </si>
  <si>
    <t xml:space="preserve"> '0118112'</t>
  </si>
  <si>
    <t xml:space="preserve"> '0118113'</t>
  </si>
  <si>
    <t xml:space="preserve"> '0118114'</t>
  </si>
  <si>
    <t xml:space="preserve"> '0118119'</t>
  </si>
  <si>
    <t xml:space="preserve"> '0118200'</t>
  </si>
  <si>
    <t xml:space="preserve"> '0118310'</t>
  </si>
  <si>
    <t xml:space="preserve"> '0118391'</t>
  </si>
  <si>
    <t xml:space="preserve"> '0118392'</t>
  </si>
  <si>
    <t xml:space="preserve"> '0118393'</t>
  </si>
  <si>
    <t xml:space="preserve"> '0118390'</t>
  </si>
  <si>
    <t xml:space="preserve"> '0118394'</t>
  </si>
  <si>
    <t xml:space="preserve"> '0118410'</t>
  </si>
  <si>
    <t xml:space="preserve"> '0118490'</t>
  </si>
  <si>
    <t xml:space="preserve"> '0118510'</t>
  </si>
  <si>
    <t xml:space="preserve"> '0118520'</t>
  </si>
  <si>
    <t xml:space="preserve"> '0118530'</t>
  </si>
  <si>
    <t xml:space="preserve"> '0118590'</t>
  </si>
  <si>
    <t xml:space="preserve"> '0118601'</t>
  </si>
  <si>
    <t xml:space="preserve"> '0118604'</t>
  </si>
  <si>
    <t xml:space="preserve"> '0118609'</t>
  </si>
  <si>
    <t xml:space="preserve"> '0118910'</t>
  </si>
  <si>
    <t xml:space="preserve"> '0118990'</t>
  </si>
  <si>
    <t xml:space="preserve"> '0119110'</t>
  </si>
  <si>
    <t xml:space="preserve"> '0119120'</t>
  </si>
  <si>
    <t xml:space="preserve"> '0119130'</t>
  </si>
  <si>
    <t xml:space="preserve"> '0119140'</t>
  </si>
  <si>
    <t xml:space="preserve"> '0119190'</t>
  </si>
  <si>
    <t xml:space="preserve"> '0119150'</t>
  </si>
  <si>
    <t xml:space="preserve"> '0119160'</t>
  </si>
  <si>
    <t xml:space="preserve"> '0119210'</t>
  </si>
  <si>
    <t xml:space="preserve"> '0119220'</t>
  </si>
  <si>
    <t xml:space="preserve"> '0119290'</t>
  </si>
  <si>
    <t xml:space="preserve"> '0119230'</t>
  </si>
  <si>
    <t xml:space="preserve"> '0119311'</t>
  </si>
  <si>
    <t xml:space="preserve"> '0119312'</t>
  </si>
  <si>
    <t xml:space="preserve"> '0119324'</t>
  </si>
  <si>
    <t xml:space="preserve"> '0119327'</t>
  </si>
  <si>
    <t xml:space="preserve"> '0119329'</t>
  </si>
  <si>
    <t xml:space="preserve"> '0119321'</t>
  </si>
  <si>
    <t xml:space="preserve"> '0119322'</t>
  </si>
  <si>
    <t xml:space="preserve"> '0119323'</t>
  </si>
  <si>
    <t xml:space="preserve"> '0119325'</t>
  </si>
  <si>
    <t xml:space="preserve"> '0119326'</t>
  </si>
  <si>
    <t xml:space="preserve"> '0119391'</t>
  </si>
  <si>
    <t xml:space="preserve"> '0119392'</t>
  </si>
  <si>
    <t xml:space="preserve"> '0119394'</t>
  </si>
  <si>
    <t xml:space="preserve"> '0119395'</t>
  </si>
  <si>
    <t xml:space="preserve"> '0119396'</t>
  </si>
  <si>
    <t xml:space="preserve"> '0119399'</t>
  </si>
  <si>
    <t xml:space="preserve"> '0119401'</t>
  </si>
  <si>
    <t xml:space="preserve"> '0119402'</t>
  </si>
  <si>
    <t xml:space="preserve"> '0119403'</t>
  </si>
  <si>
    <t xml:space="preserve"> '0119404'</t>
  </si>
  <si>
    <t xml:space="preserve"> '0119407'</t>
  </si>
  <si>
    <t xml:space="preserve"> '0119409'</t>
  </si>
  <si>
    <t xml:space="preserve"> '0119900'</t>
  </si>
  <si>
    <t xml:space="preserve"> '0121011'</t>
  </si>
  <si>
    <t xml:space="preserve"> '0121012'</t>
  </si>
  <si>
    <t xml:space="preserve"> '0121013'</t>
  </si>
  <si>
    <t xml:space="preserve"> '0121017'</t>
  </si>
  <si>
    <t xml:space="preserve"> '0121019'</t>
  </si>
  <si>
    <t xml:space="preserve"> '0121016'</t>
  </si>
  <si>
    <t xml:space="preserve"> '0121018'</t>
  </si>
  <si>
    <t xml:space="preserve"> '0121014'</t>
  </si>
  <si>
    <t xml:space="preserve"> '0121015'</t>
  </si>
  <si>
    <t xml:space="preserve"> '0129021'</t>
  </si>
  <si>
    <t xml:space="preserve"> '0129022'</t>
  </si>
  <si>
    <t xml:space="preserve"> '0129023'</t>
  </si>
  <si>
    <t xml:space="preserve"> '0129027'</t>
  </si>
  <si>
    <t xml:space="preserve"> '0129029'</t>
  </si>
  <si>
    <t xml:space="preserve"> '0129026'</t>
  </si>
  <si>
    <t xml:space="preserve"> '0129028'</t>
  </si>
  <si>
    <t xml:space="preserve"> '0129024'</t>
  </si>
  <si>
    <t xml:space="preserve"> '0129025'</t>
  </si>
  <si>
    <t xml:space="preserve"> '0122011'</t>
  </si>
  <si>
    <t xml:space="preserve"> '0122012'</t>
  </si>
  <si>
    <t xml:space="preserve"> '0122020'</t>
  </si>
  <si>
    <t xml:space="preserve"> '0122090'</t>
  </si>
  <si>
    <t xml:space="preserve"> '0123010'</t>
  </si>
  <si>
    <t xml:space="preserve"> '0123020'</t>
  </si>
  <si>
    <t xml:space="preserve"> '0123030'</t>
  </si>
  <si>
    <t xml:space="preserve"> '0123041'</t>
  </si>
  <si>
    <t xml:space="preserve"> '0123042'</t>
  </si>
  <si>
    <t xml:space="preserve"> '0123090'</t>
  </si>
  <si>
    <t xml:space="preserve"> '0124001'</t>
  </si>
  <si>
    <t xml:space="preserve"> '0124002'</t>
  </si>
  <si>
    <t xml:space="preserve"> '0124003'</t>
  </si>
  <si>
    <t xml:space="preserve"> '0125001'</t>
  </si>
  <si>
    <t xml:space="preserve"> '0125009'</t>
  </si>
  <si>
    <t xml:space="preserve"> '0126000'</t>
  </si>
  <si>
    <t xml:space="preserve"> '0129001'</t>
  </si>
  <si>
    <t xml:space="preserve"> '0129009'</t>
  </si>
  <si>
    <t xml:space="preserve"> '1111101'</t>
  </si>
  <si>
    <t xml:space="preserve"> '1111102'</t>
  </si>
  <si>
    <t xml:space="preserve"> '1111103'</t>
  </si>
  <si>
    <t xml:space="preserve"> '1111109'</t>
  </si>
  <si>
    <t xml:space="preserve"> '1111104'</t>
  </si>
  <si>
    <t xml:space="preserve"> '1111105'</t>
  </si>
  <si>
    <t xml:space="preserve"> '1111106'</t>
  </si>
  <si>
    <t xml:space="preserve"> '1111201'</t>
  </si>
  <si>
    <t xml:space="preserve"> '1111202'</t>
  </si>
  <si>
    <t xml:space="preserve"> '1111203'</t>
  </si>
  <si>
    <t xml:space="preserve"> '1111206'</t>
  </si>
  <si>
    <t xml:space="preserve"> '1111209'</t>
  </si>
  <si>
    <t xml:space="preserve"> '1111204'</t>
  </si>
  <si>
    <t xml:space="preserve"> '1111205'</t>
  </si>
  <si>
    <t xml:space="preserve"> '1111207'</t>
  </si>
  <si>
    <t xml:space="preserve"> '1112100'</t>
  </si>
  <si>
    <t xml:space="preserve"> '1112900'</t>
  </si>
  <si>
    <t xml:space="preserve"> '0211001'</t>
  </si>
  <si>
    <t xml:space="preserve"> '0211002'</t>
  </si>
  <si>
    <t xml:space="preserve"> '0211003'</t>
  </si>
  <si>
    <t xml:space="preserve"> '0211004'</t>
  </si>
  <si>
    <t xml:space="preserve"> '0211005'</t>
  </si>
  <si>
    <t xml:space="preserve"> '0211009'</t>
  </si>
  <si>
    <t xml:space="preserve"> '0211006'</t>
  </si>
  <si>
    <t xml:space="preserve"> '0212101'</t>
  </si>
  <si>
    <t xml:space="preserve"> '0212102'</t>
  </si>
  <si>
    <t xml:space="preserve"> '0212201'</t>
  </si>
  <si>
    <t xml:space="preserve"> '0212202'</t>
  </si>
  <si>
    <t xml:space="preserve"> '0212207'</t>
  </si>
  <si>
    <t xml:space="preserve"> '0212209'</t>
  </si>
  <si>
    <t xml:space="preserve"> '0212203'</t>
  </si>
  <si>
    <t xml:space="preserve"> '0212204'</t>
  </si>
  <si>
    <t xml:space="preserve"> '0212205'</t>
  </si>
  <si>
    <t xml:space="preserve"> '0212206'</t>
  </si>
  <si>
    <t xml:space="preserve"> '0212208'</t>
  </si>
  <si>
    <t xml:space="preserve"> '0213000'</t>
  </si>
  <si>
    <t xml:space="preserve"> '0219001'</t>
  </si>
  <si>
    <t xml:space="preserve"> '0219009'</t>
  </si>
  <si>
    <t xml:space="preserve"> '0230100'</t>
  </si>
  <si>
    <t xml:space="preserve"> '0230200'</t>
  </si>
  <si>
    <t xml:space="preserve"> '0230901'</t>
  </si>
  <si>
    <t xml:space="preserve"> '0230902'</t>
  </si>
  <si>
    <t xml:space="preserve"> '0230905'</t>
  </si>
  <si>
    <t xml:space="preserve"> '0230909'</t>
  </si>
  <si>
    <t xml:space="preserve"> '0240020'</t>
  </si>
  <si>
    <t xml:space="preserve"> '0130001'</t>
  </si>
  <si>
    <t xml:space="preserve"> '0130002'</t>
  </si>
  <si>
    <t xml:space="preserve"> '0220000'</t>
  </si>
  <si>
    <t xml:space="preserve"> '0311000'</t>
  </si>
  <si>
    <t xml:space="preserve"> '0312101'</t>
  </si>
  <si>
    <t xml:space="preserve"> '0312102'</t>
  </si>
  <si>
    <t xml:space="preserve"> '0312103'</t>
  </si>
  <si>
    <t xml:space="preserve"> '0312104'</t>
  </si>
  <si>
    <t xml:space="preserve"> '0312105'</t>
  </si>
  <si>
    <t xml:space="preserve"> '0312106'</t>
  </si>
  <si>
    <t xml:space="preserve"> '0312109'</t>
  </si>
  <si>
    <t xml:space="preserve"> '0312201'</t>
  </si>
  <si>
    <t xml:space="preserve"> '0312202'</t>
  </si>
  <si>
    <t xml:space="preserve"> '0312203'</t>
  </si>
  <si>
    <t xml:space="preserve"> '0312204'</t>
  </si>
  <si>
    <t xml:space="preserve"> '0312205'</t>
  </si>
  <si>
    <t xml:space="preserve"> '0312206'</t>
  </si>
  <si>
    <t xml:space="preserve"> '0312207'</t>
  </si>
  <si>
    <t xml:space="preserve"> '0312209'</t>
  </si>
  <si>
    <t xml:space="preserve"> '0312301'</t>
  </si>
  <si>
    <t xml:space="preserve"> '0312302'</t>
  </si>
  <si>
    <t xml:space="preserve"> '0312303'</t>
  </si>
  <si>
    <t xml:space="preserve"> '0312304'</t>
  </si>
  <si>
    <t xml:space="preserve"> '0312305'</t>
  </si>
  <si>
    <t xml:space="preserve"> '0312309'</t>
  </si>
  <si>
    <t xml:space="preserve"> '0312400'</t>
  </si>
  <si>
    <t xml:space="preserve"> '0313101'</t>
  </si>
  <si>
    <t xml:space="preserve"> '0313102'</t>
  </si>
  <si>
    <t xml:space="preserve"> '0313103'</t>
  </si>
  <si>
    <t xml:space="preserve"> '0313104'</t>
  </si>
  <si>
    <t xml:space="preserve"> '0313105'</t>
  </si>
  <si>
    <t xml:space="preserve"> '0313109'</t>
  </si>
  <si>
    <t xml:space="preserve"> '0313210'</t>
  </si>
  <si>
    <t xml:space="preserve"> '0313220'</t>
  </si>
  <si>
    <t xml:space="preserve"> '0314101'</t>
  </si>
  <si>
    <t xml:space="preserve"> '0314102'</t>
  </si>
  <si>
    <t xml:space="preserve"> '0314109'</t>
  </si>
  <si>
    <t xml:space="preserve"> '0314200'</t>
  </si>
  <si>
    <t xml:space="preserve"> '0321111'</t>
  </si>
  <si>
    <t xml:space="preserve"> '0321112'</t>
  </si>
  <si>
    <t xml:space="preserve"> '0321113'</t>
  </si>
  <si>
    <t xml:space="preserve"> '0321119'</t>
  </si>
  <si>
    <t xml:space="preserve"> '0321211'</t>
  </si>
  <si>
    <t xml:space="preserve"> '0321212'</t>
  </si>
  <si>
    <t xml:space="preserve"> '0321213'</t>
  </si>
  <si>
    <t xml:space="preserve"> '0321219'</t>
  </si>
  <si>
    <t xml:space="preserve"> '0321311'</t>
  </si>
  <si>
    <t xml:space="preserve"> '0321312'</t>
  </si>
  <si>
    <t xml:space="preserve"> '0321313'</t>
  </si>
  <si>
    <t xml:space="preserve"> '0321319'</t>
  </si>
  <si>
    <t xml:space="preserve"> '0321321'</t>
  </si>
  <si>
    <t xml:space="preserve"> '0321322'</t>
  </si>
  <si>
    <t xml:space="preserve"> '0321323'</t>
  </si>
  <si>
    <t xml:space="preserve"> '0321329'</t>
  </si>
  <si>
    <t xml:space="preserve"> '0321330'</t>
  </si>
  <si>
    <t xml:space="preserve"> '0322000'</t>
  </si>
  <si>
    <t xml:space="preserve"> '0411011V'</t>
  </si>
  <si>
    <t xml:space="preserve"> '0411012V'</t>
  </si>
  <si>
    <t xml:space="preserve"> '0431111'</t>
  </si>
  <si>
    <t xml:space="preserve"> '0431112'</t>
  </si>
  <si>
    <t xml:space="preserve"> '0431113'</t>
  </si>
  <si>
    <t xml:space="preserve"> '0431114'</t>
  </si>
  <si>
    <t xml:space="preserve"> '0431115'</t>
  </si>
  <si>
    <t xml:space="preserve"> '0431116'</t>
  </si>
  <si>
    <t xml:space="preserve"> '0431119'</t>
  </si>
  <si>
    <t xml:space="preserve"> '0431120'</t>
  </si>
  <si>
    <t xml:space="preserve"> '0431130'</t>
  </si>
  <si>
    <t xml:space="preserve"> '0431140'</t>
  </si>
  <si>
    <t xml:space="preserve"> '0431200'</t>
  </si>
  <si>
    <t xml:space="preserve"> '0432000'</t>
  </si>
  <si>
    <t xml:space="preserve"> '0451000'</t>
  </si>
  <si>
    <t xml:space="preserve"> '0452200'</t>
  </si>
  <si>
    <t xml:space="preserve"> '0453000'</t>
  </si>
  <si>
    <t xml:space="preserve"> '0454100'</t>
  </si>
  <si>
    <t xml:space="preserve"> '0454200'</t>
  </si>
  <si>
    <t xml:space="preserve"> '0454300'</t>
  </si>
  <si>
    <t xml:space="preserve"> '0454920'</t>
  </si>
  <si>
    <t xml:space="preserve"> '0454990'</t>
  </si>
  <si>
    <t xml:space="preserve"> '0454900'</t>
  </si>
  <si>
    <t xml:space="preserve"> '0511300'</t>
  </si>
  <si>
    <t xml:space="preserve"> '0511401'</t>
  </si>
  <si>
    <t xml:space="preserve"> '0511402'</t>
  </si>
  <si>
    <t xml:space="preserve"> '0511403'</t>
  </si>
  <si>
    <t xml:space="preserve"> '0511404'</t>
  </si>
  <si>
    <t xml:space="preserve"> '0511406'</t>
  </si>
  <si>
    <t xml:space="preserve"> '0511407'</t>
  </si>
  <si>
    <t xml:space="preserve"> '0511409'</t>
  </si>
  <si>
    <t xml:space="preserve"> '0511405'</t>
  </si>
  <si>
    <t xml:space="preserve"> '0511408'</t>
  </si>
  <si>
    <t xml:space="preserve"> '0512000'</t>
  </si>
  <si>
    <t xml:space="preserve"> '0521100'</t>
  </si>
  <si>
    <t xml:space="preserve"> '0521200'</t>
  </si>
  <si>
    <t xml:space="preserve"> '0521300'</t>
  </si>
  <si>
    <t xml:space="preserve"> '0521900'</t>
  </si>
  <si>
    <t xml:space="preserve"> '0522000'</t>
  </si>
  <si>
    <t xml:space="preserve"> '0532120'</t>
  </si>
  <si>
    <t xml:space="preserve"> '0532220'</t>
  </si>
  <si>
    <t xml:space="preserve"> '0532920'</t>
  </si>
  <si>
    <t xml:space="preserve"> '0533000'</t>
  </si>
  <si>
    <t xml:space="preserve"> '0540000'</t>
  </si>
  <si>
    <t xml:space="preserve"> '0552100'</t>
  </si>
  <si>
    <t xml:space="preserve"> '0552200'</t>
  </si>
  <si>
    <t xml:space="preserve"> '0553000'</t>
  </si>
  <si>
    <t xml:space="preserve"> '0561111'</t>
  </si>
  <si>
    <t xml:space="preserve"> '0561112'</t>
  </si>
  <si>
    <t xml:space="preserve"> '0561119'</t>
  </si>
  <si>
    <t xml:space="preserve"> '0561113'</t>
  </si>
  <si>
    <t xml:space="preserve"> '0561114'</t>
  </si>
  <si>
    <t xml:space="preserve"> '0561115'</t>
  </si>
  <si>
    <t xml:space="preserve"> '0561116'</t>
  </si>
  <si>
    <t xml:space="preserve"> '0561117'</t>
  </si>
  <si>
    <t xml:space="preserve"> '0561120'</t>
  </si>
  <si>
    <t xml:space="preserve"> '0561900'</t>
  </si>
  <si>
    <t xml:space="preserve"> '0562900'</t>
  </si>
  <si>
    <t xml:space="preserve"> '0611121'</t>
  </si>
  <si>
    <t xml:space="preserve"> '0611123'</t>
  </si>
  <si>
    <t xml:space="preserve"> '0611124'</t>
  </si>
  <si>
    <t xml:space="preserve"> '0611129'</t>
  </si>
  <si>
    <t xml:space="preserve"> '0611132'</t>
  </si>
  <si>
    <t xml:space="preserve"> '0611139'</t>
  </si>
  <si>
    <t xml:space="preserve"> '0611133'</t>
  </si>
  <si>
    <t xml:space="preserve"> '0611134'</t>
  </si>
  <si>
    <t xml:space="preserve"> '0611135'</t>
  </si>
  <si>
    <t xml:space="preserve"> '0611140'</t>
  </si>
  <si>
    <t xml:space="preserve"> '0611150'</t>
  </si>
  <si>
    <t xml:space="preserve"> '0611160'</t>
  </si>
  <si>
    <t xml:space="preserve"> '0611190'</t>
  </si>
  <si>
    <t xml:space="preserve"> '0611200'</t>
  </si>
  <si>
    <t xml:space="preserve"> '0612101'</t>
  </si>
  <si>
    <t xml:space="preserve"> '0612102'</t>
  </si>
  <si>
    <t xml:space="preserve"> '0612103'</t>
  </si>
  <si>
    <t xml:space="preserve"> '0612104'</t>
  </si>
  <si>
    <t xml:space="preserve"> '0612105'</t>
  </si>
  <si>
    <t xml:space="preserve"> '0612109'</t>
  </si>
  <si>
    <t xml:space="preserve"> '0612201'</t>
  </si>
  <si>
    <t xml:space="preserve"> '0612202'</t>
  </si>
  <si>
    <t xml:space="preserve"> '0612203'</t>
  </si>
  <si>
    <t xml:space="preserve"> '0612204'</t>
  </si>
  <si>
    <t xml:space="preserve"> '0612205'</t>
  </si>
  <si>
    <t xml:space="preserve"> '0612206'</t>
  </si>
  <si>
    <t xml:space="preserve"> '0612207'</t>
  </si>
  <si>
    <t xml:space="preserve"> '0612209'</t>
  </si>
  <si>
    <t xml:space="preserve"> '0612301'</t>
  </si>
  <si>
    <t xml:space="preserve"> '0612302'</t>
  </si>
  <si>
    <t xml:space="preserve"> '0612303'</t>
  </si>
  <si>
    <t xml:space="preserve"> '0612304'</t>
  </si>
  <si>
    <t xml:space="preserve"> '0612305'</t>
  </si>
  <si>
    <t xml:space="preserve"> '0612306'</t>
  </si>
  <si>
    <t xml:space="preserve"> '0612309'</t>
  </si>
  <si>
    <t xml:space="preserve"> '0613100'</t>
  </si>
  <si>
    <t xml:space="preserve"> '0613200'</t>
  </si>
  <si>
    <t xml:space="preserve"> '0613300'</t>
  </si>
  <si>
    <t xml:space="preserve"> '0614000'</t>
  </si>
  <si>
    <t xml:space="preserve"> '0622120'</t>
  </si>
  <si>
    <t xml:space="preserve"> '0622920'</t>
  </si>
  <si>
    <t xml:space="preserve"> '0623121'</t>
  </si>
  <si>
    <t xml:space="preserve"> '0623122'</t>
  </si>
  <si>
    <t xml:space="preserve"> '0642010'</t>
  </si>
  <si>
    <t xml:space="preserve"> '0642020'</t>
  </si>
  <si>
    <t xml:space="preserve"> '0642030'</t>
  </si>
  <si>
    <t xml:space="preserve"> '0721100'</t>
  </si>
  <si>
    <t xml:space="preserve"> '0721200'</t>
  </si>
  <si>
    <t xml:space="preserve"> '0721330'</t>
  </si>
  <si>
    <t xml:space="preserve"> '0721350'</t>
  </si>
  <si>
    <t xml:space="preserve"> '0721390'</t>
  </si>
  <si>
    <t xml:space="preserve"> '0721310'</t>
  </si>
  <si>
    <t xml:space="preserve"> '0721320'</t>
  </si>
  <si>
    <t xml:space="preserve"> '0721340'</t>
  </si>
  <si>
    <t xml:space="preserve"> '0721360'</t>
  </si>
  <si>
    <t xml:space="preserve"> '0721370'</t>
  </si>
  <si>
    <t xml:space="preserve"> '0722100'</t>
  </si>
  <si>
    <t xml:space="preserve"> '0722200'</t>
  </si>
  <si>
    <t xml:space="preserve"> '0722311'</t>
  </si>
  <si>
    <t xml:space="preserve"> '0722312'</t>
  </si>
  <si>
    <t xml:space="preserve"> '0722313'</t>
  </si>
  <si>
    <t xml:space="preserve"> '0722320'</t>
  </si>
  <si>
    <t xml:space="preserve"> '0722300'</t>
  </si>
  <si>
    <t xml:space="preserve"> '0722314'</t>
  </si>
  <si>
    <t xml:space="preserve"> '0722330'</t>
  </si>
  <si>
    <t xml:space="preserve"> '0722400'</t>
  </si>
  <si>
    <t xml:space="preserve"> '0723030'</t>
  </si>
  <si>
    <t xml:space="preserve"> '0723050'</t>
  </si>
  <si>
    <t xml:space="preserve"> '0723090'</t>
  </si>
  <si>
    <t xml:space="preserve"> '0723010'</t>
  </si>
  <si>
    <t xml:space="preserve"> '0723020'</t>
  </si>
  <si>
    <t xml:space="preserve"> '0723040'</t>
  </si>
  <si>
    <t xml:space="preserve"> '0724000'</t>
  </si>
  <si>
    <t xml:space="preserve"> '0733100'</t>
  </si>
  <si>
    <t xml:space="preserve"> '0734000'</t>
  </si>
  <si>
    <t xml:space="preserve"> '0735000'</t>
  </si>
  <si>
    <t xml:space="preserve"> '0736000'</t>
  </si>
  <si>
    <t xml:space="preserve"> '0741100'</t>
  </si>
  <si>
    <t xml:space="preserve"> '0741200'</t>
  </si>
  <si>
    <t xml:space="preserve"> '0749100'</t>
  </si>
  <si>
    <t xml:space="preserve"> '0749210'</t>
  </si>
  <si>
    <t xml:space="preserve"> '0749220'</t>
  </si>
  <si>
    <t xml:space="preserve"> '0813250'</t>
  </si>
  <si>
    <t xml:space="preserve"> '0813260'</t>
  </si>
  <si>
    <t xml:space="preserve"> '0813290'</t>
  </si>
  <si>
    <t xml:space="preserve"> '0815000'</t>
  </si>
  <si>
    <t xml:space="preserve"> '0819210'</t>
  </si>
  <si>
    <t xml:space="preserve"> '0819220'</t>
  </si>
  <si>
    <t xml:space="preserve"> '0820000'</t>
  </si>
  <si>
    <t xml:space="preserve"> '0831000'</t>
  </si>
  <si>
    <t xml:space="preserve"> '0832010'</t>
  </si>
  <si>
    <t xml:space="preserve"> '0832020'</t>
  </si>
  <si>
    <t xml:space="preserve"> '0833000'</t>
  </si>
  <si>
    <t xml:space="preserve"> '0834000'</t>
  </si>
  <si>
    <t xml:space="preserve"> '0835000'</t>
  </si>
  <si>
    <t xml:space="preserve"> '0839210'</t>
  </si>
  <si>
    <t xml:space="preserve"> '0839220'</t>
  </si>
  <si>
    <t xml:space="preserve"> '0839230'</t>
  </si>
  <si>
    <t xml:space="preserve"> '0839250'</t>
  </si>
  <si>
    <t xml:space="preserve"> '0839900'</t>
  </si>
  <si>
    <t xml:space="preserve"> '0911200'</t>
  </si>
  <si>
    <t xml:space="preserve"> '0921100'</t>
  </si>
  <si>
    <t xml:space="preserve"> '0921200'</t>
  </si>
  <si>
    <t xml:space="preserve"> '0921300'</t>
  </si>
  <si>
    <t xml:space="preserve"> '0922100'</t>
  </si>
  <si>
    <t xml:space="preserve"> '0922200'</t>
  </si>
  <si>
    <t xml:space="preserve"> '0931100'</t>
  </si>
  <si>
    <t xml:space="preserve"> '0931200'</t>
  </si>
  <si>
    <t xml:space="preserve"> '0932100'</t>
  </si>
  <si>
    <t xml:space="preserve"> '0932200'</t>
  </si>
  <si>
    <t xml:space="preserve"> '0941000'</t>
  </si>
  <si>
    <t xml:space="preserve"> '0942000'</t>
  </si>
  <si>
    <t xml:space="preserve"> '0943000'</t>
  </si>
  <si>
    <t xml:space="preserve"> '0944000'</t>
  </si>
  <si>
    <t xml:space="preserve"> '0945000'</t>
  </si>
  <si>
    <t xml:space="preserve"> '0946000'</t>
  </si>
  <si>
    <t xml:space="preserve"> '0947000'</t>
  </si>
  <si>
    <t xml:space="preserve"> '0950000'</t>
  </si>
  <si>
    <t xml:space="preserve"> '0961001'</t>
  </si>
  <si>
    <t xml:space="preserve"> '0961002'</t>
  </si>
  <si>
    <t xml:space="preserve"> '0961009'</t>
  </si>
  <si>
    <t xml:space="preserve"> '0961021'</t>
  </si>
  <si>
    <t xml:space="preserve"> '0961022'</t>
  </si>
  <si>
    <t xml:space="preserve"> '0961029'</t>
  </si>
  <si>
    <t xml:space="preserve"> '0973000'</t>
  </si>
  <si>
    <t xml:space="preserve"> '0974000'</t>
  </si>
  <si>
    <t xml:space="preserve"> '0980001'</t>
  </si>
  <si>
    <t xml:space="preserve"> '0980002'</t>
  </si>
  <si>
    <t xml:space="preserve"> '0990000'</t>
  </si>
  <si>
    <t xml:space="preserve"> '1050110'</t>
  </si>
  <si>
    <t xml:space="preserve"> '1050120'</t>
  </si>
  <si>
    <t xml:space="preserve"> '1050130'</t>
  </si>
  <si>
    <t xml:space="preserve"> '1050201'</t>
  </si>
  <si>
    <t xml:space="preserve"> '1050900'</t>
  </si>
  <si>
    <t xml:space="preserve"> '1050301'</t>
  </si>
  <si>
    <t xml:space="preserve"> '1050401'</t>
  </si>
  <si>
    <t xml:space="preserve"> '1050501'</t>
  </si>
  <si>
    <t xml:space="preserve"> '1050600'</t>
  </si>
  <si>
    <t xml:space="preserve"> '1050701'</t>
  </si>
  <si>
    <t xml:space="preserve"> '1090900'</t>
  </si>
  <si>
    <t xml:space="preserve"> '1120000'</t>
  </si>
  <si>
    <t xml:space="preserve"> '1212200'</t>
  </si>
  <si>
    <t xml:space="preserve"> '1213000'</t>
  </si>
  <si>
    <t xml:space="preserve"> '1214100'</t>
  </si>
  <si>
    <t xml:space="preserve"> '1214200'</t>
  </si>
  <si>
    <t xml:space="preserve"> '1219000'</t>
  </si>
  <si>
    <t xml:space="preserve"> '1311000'</t>
  </si>
  <si>
    <t xml:space="preserve"> '1312011'</t>
  </si>
  <si>
    <t xml:space="preserve"> '1312013'</t>
  </si>
  <si>
    <t xml:space="preserve"> '1312014'</t>
  </si>
  <si>
    <t xml:space="preserve"> '1312016'</t>
  </si>
  <si>
    <t xml:space="preserve"> '1312019'</t>
  </si>
  <si>
    <t xml:space="preserve"> '1312012'</t>
  </si>
  <si>
    <t xml:space="preserve"> '1312015'</t>
  </si>
  <si>
    <t xml:space="preserve"> '1312021'</t>
  </si>
  <si>
    <t xml:space="preserve"> '1312024'</t>
  </si>
  <si>
    <t xml:space="preserve"> '1312026'</t>
  </si>
  <si>
    <t xml:space="preserve"> '1312022'</t>
  </si>
  <si>
    <t xml:space="preserve"> '1312025'</t>
  </si>
  <si>
    <t xml:space="preserve"> '1312029'</t>
  </si>
  <si>
    <t xml:space="preserve"> '1312023'</t>
  </si>
  <si>
    <t xml:space="preserve"> '1312027'</t>
  </si>
  <si>
    <t xml:space="preserve"> '1312028'</t>
  </si>
  <si>
    <t xml:space="preserve"> '1312031'</t>
  </si>
  <si>
    <t xml:space="preserve"> '1312036'</t>
  </si>
  <si>
    <t xml:space="preserve"> '1312037'</t>
  </si>
  <si>
    <t xml:space="preserve"> '1312033'</t>
  </si>
  <si>
    <t xml:space="preserve"> '1312034'</t>
  </si>
  <si>
    <t xml:space="preserve"> '1312039'</t>
  </si>
  <si>
    <t xml:space="preserve"> '1312032'</t>
  </si>
  <si>
    <t xml:space="preserve"> '1312035'</t>
  </si>
  <si>
    <t xml:space="preserve"> '1312091'</t>
  </si>
  <si>
    <t xml:space="preserve"> '1312095'</t>
  </si>
  <si>
    <t xml:space="preserve"> '1312099'</t>
  </si>
  <si>
    <t xml:space="preserve"> '1312092'</t>
  </si>
  <si>
    <t xml:space="preserve"> '1312093'</t>
  </si>
  <si>
    <t xml:space="preserve"> '1312094'</t>
  </si>
  <si>
    <t xml:space="preserve"> '1312096'</t>
  </si>
  <si>
    <t xml:space="preserve"> '1312097'</t>
  </si>
  <si>
    <t xml:space="preserve"> '1313100'</t>
  </si>
  <si>
    <t xml:space="preserve"> '1313200'</t>
  </si>
  <si>
    <t xml:space="preserve"> '1321100'</t>
  </si>
  <si>
    <t xml:space="preserve"> '1321200'</t>
  </si>
  <si>
    <t xml:space="preserve"> '1322000'</t>
  </si>
  <si>
    <t xml:space="preserve"> '1329101'</t>
  </si>
  <si>
    <t xml:space="preserve"> '1329102'</t>
  </si>
  <si>
    <t xml:space="preserve"> '1329103'</t>
  </si>
  <si>
    <t xml:space="preserve"> '1329104'</t>
  </si>
  <si>
    <t xml:space="preserve"> '1329106'</t>
  </si>
  <si>
    <t xml:space="preserve"> '1329105'</t>
  </si>
  <si>
    <t xml:space="preserve"> '1329109'</t>
  </si>
  <si>
    <t xml:space="preserve"> '1329200'</t>
  </si>
  <si>
    <t xml:space="preserve"> '1330100'</t>
  </si>
  <si>
    <t xml:space="preserve"> '1330200'</t>
  </si>
  <si>
    <t xml:space="preserve"> '1330300'</t>
  </si>
  <si>
    <t xml:space="preserve"> '1330900'</t>
  </si>
  <si>
    <t xml:space="preserve"> '1390903'</t>
  </si>
  <si>
    <t xml:space="preserve"> '1390906'</t>
  </si>
  <si>
    <t xml:space="preserve"> '1390909'</t>
  </si>
  <si>
    <t xml:space="preserve"> '1390200'</t>
  </si>
  <si>
    <t xml:space="preserve"> '1390901'</t>
  </si>
  <si>
    <t xml:space="preserve"> '1390902'</t>
  </si>
  <si>
    <t xml:space="preserve"> '1390904'</t>
  </si>
  <si>
    <t xml:space="preserve"> '1390905'</t>
  </si>
  <si>
    <t xml:space="preserve"> '1390907'</t>
  </si>
  <si>
    <t xml:space="preserve"> '1390908'</t>
  </si>
  <si>
    <t xml:space="preserve"> '0511000'</t>
  </si>
  <si>
    <t xml:space="preserve"> '0531100'</t>
  </si>
  <si>
    <t xml:space="preserve"> '0531200'</t>
  </si>
  <si>
    <t xml:space="preserve"> '0531300'</t>
  </si>
  <si>
    <t xml:space="preserve"> '0531400'</t>
  </si>
  <si>
    <t xml:space="preserve"> '0531900'</t>
  </si>
  <si>
    <t xml:space="preserve"> '0532000'</t>
  </si>
  <si>
    <t xml:space="preserve"> '0551000'</t>
  </si>
  <si>
    <t xml:space="preserve"> '0711000'</t>
  </si>
  <si>
    <t xml:space="preserve"> '0712000'</t>
  </si>
  <si>
    <t xml:space="preserve"> '0713000'</t>
  </si>
  <si>
    <t xml:space="preserve"> '0714000'</t>
  </si>
  <si>
    <t xml:space="preserve"> '0719000'</t>
  </si>
  <si>
    <t xml:space="preserve"> '0811000'</t>
  </si>
  <si>
    <t xml:space="preserve"> '0812000'</t>
  </si>
  <si>
    <t xml:space="preserve"> '0813101'</t>
  </si>
  <si>
    <t xml:space="preserve"> '0813102'</t>
  </si>
  <si>
    <t xml:space="preserve"> '0813103'</t>
  </si>
  <si>
    <t xml:space="preserve"> '0813200'</t>
  </si>
  <si>
    <t xml:space="preserve"> '0814010'</t>
  </si>
  <si>
    <t xml:space="preserve"> '0814020'</t>
  </si>
  <si>
    <t xml:space="preserve"> '0814040'</t>
  </si>
  <si>
    <t xml:space="preserve"> '0814090'</t>
  </si>
  <si>
    <t xml:space="preserve"> '0814030'</t>
  </si>
  <si>
    <t xml:space="preserve"> '0814050'</t>
  </si>
  <si>
    <t xml:space="preserve"> '0819000'</t>
  </si>
  <si>
    <t xml:space="preserve"> '0911000'</t>
  </si>
  <si>
    <t xml:space="preserve"> '0912000'</t>
  </si>
  <si>
    <t xml:space="preserve"> '0921110'</t>
  </si>
  <si>
    <t xml:space="preserve"> '0921120'</t>
  </si>
  <si>
    <t xml:space="preserve"> '0921130'</t>
  </si>
  <si>
    <t xml:space="preserve"> '0922227'</t>
  </si>
  <si>
    <t xml:space="preserve"> '0920009'</t>
  </si>
  <si>
    <t xml:space="preserve"> '0950001'</t>
  </si>
  <si>
    <t xml:space="preserve"> '1511000'</t>
  </si>
  <si>
    <t xml:space="preserve"> '1512000'</t>
  </si>
  <si>
    <t xml:space="preserve"> '1513000'</t>
  </si>
  <si>
    <t xml:space="preserve"> '1514000'</t>
  </si>
  <si>
    <t xml:space="preserve"> '1516000']</t>
  </si>
  <si>
    <t>['0111121'</t>
  </si>
  <si>
    <t xml:space="preserve"> '0111122'</t>
  </si>
  <si>
    <t xml:space="preserve"> '0111123'</t>
  </si>
  <si>
    <t xml:space="preserve"> '0111125'</t>
  </si>
  <si>
    <t xml:space="preserve"> '0111128'</t>
  </si>
  <si>
    <t xml:space="preserve"> '0111129'</t>
  </si>
  <si>
    <t xml:space="preserve"> '0111124'</t>
  </si>
  <si>
    <t xml:space="preserve"> '0111126'</t>
  </si>
  <si>
    <t xml:space="preserve"> '0111127'</t>
  </si>
  <si>
    <t xml:space="preserve"> '0111168'</t>
  </si>
  <si>
    <t xml:space="preserve"> '0111163'</t>
  </si>
  <si>
    <t xml:space="preserve"> '0111166'</t>
  </si>
  <si>
    <t xml:space="preserve"> '0111169'</t>
  </si>
  <si>
    <t xml:space="preserve"> '0112120'</t>
  </si>
  <si>
    <t xml:space="preserve"> '0112130'</t>
  </si>
  <si>
    <t xml:space="preserve"> '0112140'</t>
  </si>
  <si>
    <t xml:space="preserve"> '0112190'</t>
  </si>
  <si>
    <t xml:space="preserve"> '0112110'</t>
  </si>
  <si>
    <t xml:space="preserve"> '0112150'</t>
  </si>
  <si>
    <t xml:space="preserve"> '0112210'</t>
  </si>
  <si>
    <t xml:space="preserve"> '0112220'</t>
  </si>
  <si>
    <t xml:space="preserve"> '0112231'</t>
  </si>
  <si>
    <t xml:space="preserve"> '0112241'</t>
  </si>
  <si>
    <t xml:space="preserve"> '0112290'</t>
  </si>
  <si>
    <t xml:space="preserve"> '0112232'</t>
  </si>
  <si>
    <t xml:space="preserve"> '0112243'</t>
  </si>
  <si>
    <t xml:space="preserve"> '0112250'</t>
  </si>
  <si>
    <t xml:space="preserve"> '0112260'</t>
  </si>
  <si>
    <t xml:space="preserve"> '0112242'</t>
  </si>
  <si>
    <t xml:space="preserve"> '0112310'</t>
  </si>
  <si>
    <t xml:space="preserve"> '0112321'</t>
  </si>
  <si>
    <t xml:space="preserve"> '0112322'</t>
  </si>
  <si>
    <t xml:space="preserve"> '0112390'</t>
  </si>
  <si>
    <t xml:space="preserve"> '0112400'</t>
  </si>
  <si>
    <t xml:space="preserve"> '0113111'</t>
  </si>
  <si>
    <t xml:space="preserve"> '0113161'</t>
  </si>
  <si>
    <t xml:space="preserve"> '0113162'</t>
  </si>
  <si>
    <t xml:space="preserve"> '0113163'</t>
  </si>
  <si>
    <t xml:space="preserve"> '0113164'</t>
  </si>
  <si>
    <t xml:space="preserve"> '0113165'</t>
  </si>
  <si>
    <t xml:space="preserve"> '0113166'</t>
  </si>
  <si>
    <t xml:space="preserve"> '0113191'</t>
  </si>
  <si>
    <t xml:space="preserve"> '0113190'</t>
  </si>
  <si>
    <t xml:space="preserve"> '0113112'</t>
  </si>
  <si>
    <t xml:space="preserve"> '0113113'</t>
  </si>
  <si>
    <t xml:space="preserve"> '0113114'</t>
  </si>
  <si>
    <t xml:space="preserve"> '0113115'</t>
  </si>
  <si>
    <t xml:space="preserve"> '0113116'</t>
  </si>
  <si>
    <t xml:space="preserve"> '0113117'</t>
  </si>
  <si>
    <t xml:space="preserve"> '0113131'</t>
  </si>
  <si>
    <t xml:space="preserve"> '0113132'</t>
  </si>
  <si>
    <t xml:space="preserve"> '0113133'</t>
  </si>
  <si>
    <t xml:space="preserve"> '0113134'</t>
  </si>
  <si>
    <t xml:space="preserve"> '0113195'</t>
  </si>
  <si>
    <t xml:space="preserve"> '0113196'</t>
  </si>
  <si>
    <t xml:space="preserve"> '0113197'</t>
  </si>
  <si>
    <t xml:space="preserve"> '0113192'</t>
  </si>
  <si>
    <t xml:space="preserve"> '0113193'</t>
  </si>
  <si>
    <t xml:space="preserve"> '0113194'</t>
  </si>
  <si>
    <t xml:space="preserve"> '0113198'</t>
  </si>
  <si>
    <t xml:space="preserve"> '0113121'</t>
  </si>
  <si>
    <t xml:space="preserve"> '0113150'</t>
  </si>
  <si>
    <t xml:space="preserve"> '0113291'</t>
  </si>
  <si>
    <t xml:space="preserve"> '0113292'</t>
  </si>
  <si>
    <t xml:space="preserve"> '0113293'</t>
  </si>
  <si>
    <t xml:space="preserve"> '0113294'</t>
  </si>
  <si>
    <t xml:space="preserve"> '0113295'</t>
  </si>
  <si>
    <t xml:space="preserve"> '0113297'</t>
  </si>
  <si>
    <t xml:space="preserve"> '0113298'</t>
  </si>
  <si>
    <t xml:space="preserve"> '0113290'</t>
  </si>
  <si>
    <t xml:space="preserve"> '0113210'</t>
  </si>
  <si>
    <t xml:space="preserve"> '0113296'</t>
  </si>
  <si>
    <t xml:space="preserve"> '0113410'</t>
  </si>
  <si>
    <t xml:space="preserve"> '0113421'</t>
  </si>
  <si>
    <t xml:space="preserve"> '0113422'</t>
  </si>
  <si>
    <t xml:space="preserve"> '0113430'</t>
  </si>
  <si>
    <t xml:space="preserve"> '0113440'</t>
  </si>
  <si>
    <t xml:space="preserve"> '0113450'</t>
  </si>
  <si>
    <t xml:space="preserve"> '0113490'</t>
  </si>
  <si>
    <t xml:space="preserve"> '0113510'</t>
  </si>
  <si>
    <t xml:space="preserve"> '0113521'</t>
  </si>
  <si>
    <t xml:space="preserve"> '0113522'</t>
  </si>
  <si>
    <t xml:space="preserve"> '0113530'</t>
  </si>
  <si>
    <t xml:space="preserve"> '0113540'</t>
  </si>
  <si>
    <t xml:space="preserve"> '0113550'</t>
  </si>
  <si>
    <t xml:space="preserve"> '0113590'</t>
  </si>
  <si>
    <t xml:space="preserve"> '0114811'</t>
  </si>
  <si>
    <t xml:space="preserve"> '0114812'</t>
  </si>
  <si>
    <t xml:space="preserve"> '0114819'</t>
  </si>
  <si>
    <t xml:space="preserve"> '0114820'</t>
  </si>
  <si>
    <t xml:space="preserve"> '0116110'</t>
  </si>
  <si>
    <t xml:space="preserve"> '0116120'</t>
  </si>
  <si>
    <t xml:space="preserve"> '0116151'</t>
  </si>
  <si>
    <t xml:space="preserve"> '0116160'</t>
  </si>
  <si>
    <t xml:space="preserve"> '0116170'</t>
  </si>
  <si>
    <t xml:space="preserve"> '0116180'</t>
  </si>
  <si>
    <t xml:space="preserve"> '0116190'</t>
  </si>
  <si>
    <t xml:space="preserve"> '0116153'</t>
  </si>
  <si>
    <t xml:space="preserve"> '0116130'</t>
  </si>
  <si>
    <t xml:space="preserve"> '0116140'</t>
  </si>
  <si>
    <t xml:space="preserve"> '0116192'</t>
  </si>
  <si>
    <t xml:space="preserve"> '0116193'</t>
  </si>
  <si>
    <t xml:space="preserve"> '0116194'</t>
  </si>
  <si>
    <t xml:space="preserve"> '0116195'</t>
  </si>
  <si>
    <t xml:space="preserve"> '0116196'</t>
  </si>
  <si>
    <t xml:space="preserve"> '0116197'</t>
  </si>
  <si>
    <t xml:space="preserve"> '0116198'</t>
  </si>
  <si>
    <t xml:space="preserve"> '0116152'</t>
  </si>
  <si>
    <t xml:space="preserve"> '0116210'</t>
  </si>
  <si>
    <t xml:space="preserve"> '0116221'</t>
  </si>
  <si>
    <t xml:space="preserve"> '0116230'</t>
  </si>
  <si>
    <t xml:space="preserve"> '0116240'</t>
  </si>
  <si>
    <t xml:space="preserve"> '0116291'</t>
  </si>
  <si>
    <t xml:space="preserve"> '0116290'</t>
  </si>
  <si>
    <t xml:space="preserve"> '0116222'</t>
  </si>
  <si>
    <t xml:space="preserve"> '0116310'</t>
  </si>
  <si>
    <t xml:space="preserve"> '0116340'</t>
  </si>
  <si>
    <t xml:space="preserve"> '0116390'</t>
  </si>
  <si>
    <t xml:space="preserve"> '0116320'</t>
  </si>
  <si>
    <t xml:space="preserve"> '0116330'</t>
  </si>
  <si>
    <t xml:space="preserve"> '0116350'</t>
  </si>
  <si>
    <t xml:space="preserve"> '0116360'</t>
  </si>
  <si>
    <t xml:space="preserve"> '0116450'</t>
  </si>
  <si>
    <t xml:space="preserve"> '0116490'</t>
  </si>
  <si>
    <t xml:space="preserve"> '0116430'</t>
  </si>
  <si>
    <t xml:space="preserve"> '0116440'</t>
  </si>
  <si>
    <t xml:space="preserve"> '0116460'</t>
  </si>
  <si>
    <t xml:space="preserve"> '0116470'</t>
  </si>
  <si>
    <t xml:space="preserve"> '0116510'</t>
  </si>
  <si>
    <t xml:space="preserve"> '0116540'</t>
  </si>
  <si>
    <t xml:space="preserve"> '0116590'</t>
  </si>
  <si>
    <t xml:space="preserve"> '0116530'</t>
  </si>
  <si>
    <t xml:space="preserve"> '0116550'</t>
  </si>
  <si>
    <t xml:space="preserve"> '0116560'</t>
  </si>
  <si>
    <t xml:space="preserve"> '0116570'</t>
  </si>
  <si>
    <t xml:space="preserve"> '0116520'</t>
  </si>
  <si>
    <t xml:space="preserve"> '0117120'</t>
  </si>
  <si>
    <t xml:space="preserve"> '0117191'</t>
  </si>
  <si>
    <t xml:space="preserve"> '0117192'</t>
  </si>
  <si>
    <t xml:space="preserve"> '0117193'</t>
  </si>
  <si>
    <t xml:space="preserve"> '0117194'</t>
  </si>
  <si>
    <t xml:space="preserve"> '0117195'</t>
  </si>
  <si>
    <t xml:space="preserve"> '0117197'</t>
  </si>
  <si>
    <t xml:space="preserve"> '0117198'</t>
  </si>
  <si>
    <t xml:space="preserve"> '0117190'</t>
  </si>
  <si>
    <t xml:space="preserve"> '0117110'</t>
  </si>
  <si>
    <t xml:space="preserve"> '0117170'</t>
  </si>
  <si>
    <t xml:space="preserve"> '0117130'</t>
  </si>
  <si>
    <t xml:space="preserve"> '0117140'</t>
  </si>
  <si>
    <t xml:space="preserve"> '0117150'</t>
  </si>
  <si>
    <t xml:space="preserve"> '0117196'</t>
  </si>
  <si>
    <t xml:space="preserve"> '0117210'</t>
  </si>
  <si>
    <t xml:space="preserve"> '0117230'</t>
  </si>
  <si>
    <t xml:space="preserve"> '0117240'</t>
  </si>
  <si>
    <t xml:space="preserve"> '0117251'</t>
  </si>
  <si>
    <t xml:space="preserve"> '0117252'</t>
  </si>
  <si>
    <t xml:space="preserve"> '0117260'</t>
  </si>
  <si>
    <t xml:space="preserve"> '0117290'</t>
  </si>
  <si>
    <t xml:space="preserve"> '0117220'</t>
  </si>
  <si>
    <t xml:space="preserve"> '0117255'</t>
  </si>
  <si>
    <t xml:space="preserve"> '0117253'</t>
  </si>
  <si>
    <t xml:space="preserve"> '0117254'</t>
  </si>
  <si>
    <t xml:space="preserve"> '0117256'</t>
  </si>
  <si>
    <t xml:space="preserve"> '0117310'</t>
  </si>
  <si>
    <t xml:space="preserve"> '0117320'</t>
  </si>
  <si>
    <t xml:space="preserve"> '0117330'</t>
  </si>
  <si>
    <t xml:space="preserve"> '0117360'</t>
  </si>
  <si>
    <t xml:space="preserve"> '0117390'</t>
  </si>
  <si>
    <t xml:space="preserve"> '0117340'</t>
  </si>
  <si>
    <t xml:space="preserve"> '0117350'</t>
  </si>
  <si>
    <t xml:space="preserve"> '0117411'</t>
  </si>
  <si>
    <t xml:space="preserve"> '0117420'</t>
  </si>
  <si>
    <t xml:space="preserve"> '0117430'</t>
  </si>
  <si>
    <t xml:space="preserve"> '0117490'</t>
  </si>
  <si>
    <t xml:space="preserve"> '0117412'</t>
  </si>
  <si>
    <t xml:space="preserve"> '0117440'</t>
  </si>
  <si>
    <t xml:space="preserve"> '0117452'</t>
  </si>
  <si>
    <t xml:space="preserve"> '0117460'</t>
  </si>
  <si>
    <t xml:space="preserve"> '0117470'</t>
  </si>
  <si>
    <t xml:space="preserve"> '0117480'</t>
  </si>
  <si>
    <t xml:space="preserve"> '0117451'</t>
  </si>
  <si>
    <t xml:space="preserve"> '0117491'</t>
  </si>
  <si>
    <t xml:space="preserve"> '0117510'</t>
  </si>
  <si>
    <t xml:space="preserve"> '0117520'</t>
  </si>
  <si>
    <t xml:space="preserve"> '0117530'</t>
  </si>
  <si>
    <t xml:space="preserve"> '0117590'</t>
  </si>
  <si>
    <t xml:space="preserve"> '0117540'</t>
  </si>
  <si>
    <t xml:space="preserve"> '0117550'</t>
  </si>
  <si>
    <t xml:space="preserve"> '0117591'</t>
  </si>
  <si>
    <t xml:space="preserve"> '0117610'</t>
  </si>
  <si>
    <t xml:space="preserve"> '0117691'</t>
  </si>
  <si>
    <t xml:space="preserve"> '0117690'</t>
  </si>
  <si>
    <t xml:space="preserve"> '0117640'</t>
  </si>
  <si>
    <t xml:space="preserve"> '0117660'</t>
  </si>
  <si>
    <t xml:space="preserve"> '0117670'</t>
  </si>
  <si>
    <t xml:space="preserve"> '0117680'</t>
  </si>
  <si>
    <t xml:space="preserve"> '0117650'</t>
  </si>
  <si>
    <t xml:space="preserve"> '0411011E'</t>
  </si>
  <si>
    <t xml:space="preserve"> '0411012E'</t>
  </si>
  <si>
    <t xml:space="preserve"> '0411020'</t>
  </si>
  <si>
    <t xml:space="preserve"> '0411090'</t>
  </si>
  <si>
    <t xml:space="preserve"> '0412100'</t>
  </si>
  <si>
    <t xml:space="preserve"> '0412200'</t>
  </si>
  <si>
    <t xml:space="preserve"> '0421000'</t>
  </si>
  <si>
    <t xml:space="preserve"> '0422000'</t>
  </si>
  <si>
    <t xml:space="preserve"> '0441000'</t>
  </si>
  <si>
    <t xml:space="preserve"> '0444000'</t>
  </si>
  <si>
    <t xml:space="preserve"> '0562101'</t>
  </si>
  <si>
    <t xml:space="preserve"> '0562102'</t>
  </si>
  <si>
    <t xml:space="preserve"> '0562104'</t>
  </si>
  <si>
    <t xml:space="preserve"> '0562105'</t>
  </si>
  <si>
    <t xml:space="preserve"> '0562107'</t>
  </si>
  <si>
    <t xml:space="preserve"> '0562109'</t>
  </si>
  <si>
    <t xml:space="preserve"> '0562103'</t>
  </si>
  <si>
    <t xml:space="preserve"> '0562106'</t>
  </si>
  <si>
    <t xml:space="preserve"> '0611122'</t>
  </si>
  <si>
    <t xml:space="preserve"> '0611125'</t>
  </si>
  <si>
    <t xml:space="preserve"> '0611126'</t>
  </si>
  <si>
    <t xml:space="preserve"> '0611131'</t>
  </si>
  <si>
    <t xml:space="preserve"> '0621110'</t>
  </si>
  <si>
    <t xml:space="preserve"> '0621120'</t>
  </si>
  <si>
    <t xml:space="preserve"> '0621911'</t>
  </si>
  <si>
    <t xml:space="preserve"> '0621919'</t>
  </si>
  <si>
    <t xml:space="preserve"> '0621921'</t>
  </si>
  <si>
    <t xml:space="preserve"> '0621929'</t>
  </si>
  <si>
    <t xml:space="preserve"> '0622110'</t>
  </si>
  <si>
    <t xml:space="preserve"> '0622910'</t>
  </si>
  <si>
    <t xml:space="preserve"> '0623111'</t>
  </si>
  <si>
    <t xml:space="preserve"> '0623112'</t>
  </si>
  <si>
    <t xml:space="preserve"> '0623210'</t>
  </si>
  <si>
    <t xml:space="preserve"> '0623220'</t>
  </si>
  <si>
    <t xml:space="preserve"> '0631010'</t>
  </si>
  <si>
    <t xml:space="preserve"> '0631020'</t>
  </si>
  <si>
    <t xml:space="preserve"> '0632010'</t>
  </si>
  <si>
    <t xml:space="preserve"> '0632020'</t>
  </si>
  <si>
    <t xml:space="preserve"> '0641010'</t>
  </si>
  <si>
    <t xml:space="preserve"> '0641020'</t>
  </si>
  <si>
    <t xml:space="preserve"> '0731000'</t>
  </si>
  <si>
    <t xml:space="preserve"> '0732111'</t>
  </si>
  <si>
    <t xml:space="preserve"> '0732112'</t>
  </si>
  <si>
    <t xml:space="preserve"> '0732120'</t>
  </si>
  <si>
    <t xml:space="preserve"> '0732201'</t>
  </si>
  <si>
    <t xml:space="preserve"> '0732202'</t>
  </si>
  <si>
    <t xml:space="preserve"> '0732203'</t>
  </si>
  <si>
    <t xml:space="preserve"> '0732204'</t>
  </si>
  <si>
    <t xml:space="preserve"> '0732300'</t>
  </si>
  <si>
    <t xml:space="preserve"> '0732901'</t>
  </si>
  <si>
    <t xml:space="preserve"> '0732902'</t>
  </si>
  <si>
    <t xml:space="preserve"> '0732903'</t>
  </si>
  <si>
    <t xml:space="preserve"> '0732904'</t>
  </si>
  <si>
    <t xml:space="preserve"> '0732905'</t>
  </si>
  <si>
    <t xml:space="preserve"> '0732909'</t>
  </si>
  <si>
    <t xml:space="preserve"> '0733200'</t>
  </si>
  <si>
    <t xml:space="preserve"> '0971000'</t>
  </si>
  <si>
    <t xml:space="preserve"> '0972000'</t>
  </si>
  <si>
    <t xml:space="preserve"> '1010121'</t>
  </si>
  <si>
    <t xml:space="preserve"> '1010141'</t>
  </si>
  <si>
    <t xml:space="preserve"> '1010144'</t>
  </si>
  <si>
    <t xml:space="preserve"> '1010161'</t>
  </si>
  <si>
    <t xml:space="preserve"> '1010181'</t>
  </si>
  <si>
    <t xml:space="preserve"> '1010184'</t>
  </si>
  <si>
    <t xml:space="preserve"> '1010221'</t>
  </si>
  <si>
    <t xml:space="preserve"> '1010241'</t>
  </si>
  <si>
    <t xml:space="preserve"> '1010244'</t>
  </si>
  <si>
    <t xml:space="preserve"> '1020121'</t>
  </si>
  <si>
    <t xml:space="preserve"> '1020141'</t>
  </si>
  <si>
    <t xml:space="preserve"> '1020144'</t>
  </si>
  <si>
    <t xml:space="preserve"> '1020321'</t>
  </si>
  <si>
    <t xml:space="preserve"> '1020521'</t>
  </si>
  <si>
    <t xml:space="preserve"> '1030011'</t>
  </si>
  <si>
    <t xml:space="preserve"> '1030021'</t>
  </si>
  <si>
    <t xml:space="preserve"> '1030031'</t>
  </si>
  <si>
    <t xml:space="preserve"> '1030033'</t>
  </si>
  <si>
    <t xml:space="preserve"> '1030041'</t>
  </si>
  <si>
    <t xml:space="preserve"> '1030043'</t>
  </si>
  <si>
    <t xml:space="preserve"> '1040011'</t>
  </si>
  <si>
    <t xml:space="preserve"> '1040021'</t>
  </si>
  <si>
    <t xml:space="preserve"> '1040031'</t>
  </si>
  <si>
    <t xml:space="preserve"> '1040041'</t>
  </si>
  <si>
    <t xml:space="preserve"> '1040051'</t>
  </si>
  <si>
    <t xml:space="preserve"> '1040061'</t>
  </si>
  <si>
    <t xml:space="preserve"> '1040071'</t>
  </si>
  <si>
    <t xml:space="preserve"> '1040081'</t>
  </si>
  <si>
    <t xml:space="preserve"> '1010123'</t>
  </si>
  <si>
    <t xml:space="preserve"> '1010143'</t>
  </si>
  <si>
    <t xml:space="preserve"> '1010145'</t>
  </si>
  <si>
    <t xml:space="preserve"> '1010163'</t>
  </si>
  <si>
    <t xml:space="preserve"> '1010183'</t>
  </si>
  <si>
    <t xml:space="preserve"> '1010185'</t>
  </si>
  <si>
    <t xml:space="preserve"> '1010223'</t>
  </si>
  <si>
    <t xml:space="preserve"> '1010243'</t>
  </si>
  <si>
    <t xml:space="preserve"> '1010245'</t>
  </si>
  <si>
    <t xml:space="preserve"> '1020123'</t>
  </si>
  <si>
    <t xml:space="preserve"> '1020143'</t>
  </si>
  <si>
    <t xml:space="preserve"> '1020145'</t>
  </si>
  <si>
    <t xml:space="preserve"> '1020323'</t>
  </si>
  <si>
    <t xml:space="preserve"> '1020523'</t>
  </si>
  <si>
    <t xml:space="preserve"> '1010112'</t>
  </si>
  <si>
    <t xml:space="preserve"> '1010122'</t>
  </si>
  <si>
    <t xml:space="preserve"> '1010132'</t>
  </si>
  <si>
    <t xml:space="preserve"> '1010136'</t>
  </si>
  <si>
    <t xml:space="preserve"> '1010142'</t>
  </si>
  <si>
    <t xml:space="preserve"> '1010146'</t>
  </si>
  <si>
    <t xml:space="preserve"> '1010152'</t>
  </si>
  <si>
    <t xml:space="preserve"> '1010162'</t>
  </si>
  <si>
    <t xml:space="preserve"> '1010172'</t>
  </si>
  <si>
    <t xml:space="preserve"> '1010176'</t>
  </si>
  <si>
    <t xml:space="preserve"> '1010182'</t>
  </si>
  <si>
    <t xml:space="preserve"> '1010186'</t>
  </si>
  <si>
    <t xml:space="preserve"> '1010212'</t>
  </si>
  <si>
    <t xml:space="preserve"> '1010222'</t>
  </si>
  <si>
    <t xml:space="preserve"> '1010232'</t>
  </si>
  <si>
    <t xml:space="preserve"> '1010236'</t>
  </si>
  <si>
    <t xml:space="preserve"> '1010242'</t>
  </si>
  <si>
    <t xml:space="preserve"> '1010246'</t>
  </si>
  <si>
    <t xml:space="preserve"> '1020112'</t>
  </si>
  <si>
    <t xml:space="preserve"> '1020122'</t>
  </si>
  <si>
    <t xml:space="preserve"> '1020132'</t>
  </si>
  <si>
    <t xml:space="preserve"> '1020136'</t>
  </si>
  <si>
    <t xml:space="preserve"> '1020142'</t>
  </si>
  <si>
    <t xml:space="preserve"> '1020146'</t>
  </si>
  <si>
    <t xml:space="preserve"> '1020312'</t>
  </si>
  <si>
    <t xml:space="preserve"> '1020322'</t>
  </si>
  <si>
    <t xml:space="preserve"> '1020512'</t>
  </si>
  <si>
    <t xml:space="preserve"> '1020522'</t>
  </si>
  <si>
    <t xml:space="preserve"> '1030012'</t>
  </si>
  <si>
    <t xml:space="preserve"> '1030022'</t>
  </si>
  <si>
    <t xml:space="preserve"> '1030032'</t>
  </si>
  <si>
    <t xml:space="preserve"> '1030036'</t>
  </si>
  <si>
    <t xml:space="preserve"> '1030042'</t>
  </si>
  <si>
    <t xml:space="preserve"> '1030046'</t>
  </si>
  <si>
    <t xml:space="preserve"> '1040012'</t>
  </si>
  <si>
    <t xml:space="preserve"> '1040022'</t>
  </si>
  <si>
    <t xml:space="preserve"> '1040032'</t>
  </si>
  <si>
    <t xml:space="preserve"> '1040042'</t>
  </si>
  <si>
    <t xml:space="preserve"> '1040052'</t>
  </si>
  <si>
    <t xml:space="preserve"> '1040062'</t>
  </si>
  <si>
    <t xml:space="preserve"> '1040072'</t>
  </si>
  <si>
    <t xml:space="preserve"> '1040082'</t>
  </si>
  <si>
    <t xml:space="preserve"> '1050112'</t>
  </si>
  <si>
    <t xml:space="preserve"> '1050122'</t>
  </si>
  <si>
    <t xml:space="preserve"> '1050132'</t>
  </si>
  <si>
    <t xml:space="preserve"> '1050202'</t>
  </si>
  <si>
    <t xml:space="preserve"> '1050302'</t>
  </si>
  <si>
    <t xml:space="preserve"> '1050402'</t>
  </si>
  <si>
    <t xml:space="preserve"> '1050502'</t>
  </si>
  <si>
    <t xml:space="preserve"> '1050612'</t>
  </si>
  <si>
    <t xml:space="preserve"> '1050622'</t>
  </si>
  <si>
    <t xml:space="preserve"> '1050702'</t>
  </si>
  <si>
    <t xml:space="preserve"> '1050912'</t>
  </si>
  <si>
    <t xml:space="preserve"> '1050922'</t>
  </si>
  <si>
    <t xml:space="preserve"> '1090100'</t>
  </si>
  <si>
    <t xml:space="preserve"> '1211100'</t>
  </si>
  <si>
    <t xml:space="preserve"> '1211200'</t>
  </si>
  <si>
    <t xml:space="preserve"> '1211300'</t>
  </si>
  <si>
    <t xml:space="preserve"> '1212100'</t>
  </si>
  <si>
    <t xml:space="preserve"> '1220000']</t>
  </si>
  <si>
    <t>VATABLE</t>
  </si>
  <si>
    <t>EXEMPT</t>
  </si>
  <si>
    <t>TOTAL_411011</t>
  </si>
  <si>
    <t>exempt</t>
  </si>
  <si>
    <t>TOTAL_411012</t>
  </si>
  <si>
    <t>TOTAL_421000</t>
  </si>
  <si>
    <t>TOTAL_422000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</si>
</sst>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name val="Menlo"/>
      <family val="2"/>
    </font>
    <font>
      <sz val="14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165" fontId="14" fillId="0" borderId="0" xfId="1" applyNumberFormat="1" applyFont="1" applyAlignment="1">
      <alignment horizontal="center" vertical="center" wrapText="1"/>
    </xf>
    <xf numFmtId="10" fontId="0" fillId="0" borderId="0" xfId="2" applyNumberFormat="1" applyFont="1"/>
    <xf numFmtId="9" fontId="0" fillId="0" borderId="0" xfId="2" applyFont="1"/>
    <xf numFmtId="164" fontId="0" fillId="0" borderId="0" xfId="0" applyNumberFormat="1"/>
    <xf numFmtId="9" fontId="0" fillId="0" borderId="10" xfId="2" applyFont="1" applyBorder="1"/>
    <xf numFmtId="9" fontId="0" fillId="0" borderId="11" xfId="2" applyFont="1" applyBorder="1"/>
    <xf numFmtId="9" fontId="0" fillId="0" borderId="12" xfId="2" applyFont="1" applyBorder="1"/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  <xf numFmtId="43" fontId="0" fillId="0" borderId="0" xfId="1" applyFont="1" applyAlignment="1">
      <alignment wrapText="1"/>
    </xf>
    <xf numFmtId="0" fontId="0" fillId="0" borderId="0" xfId="0" applyAlignment="1">
      <alignment vertical="top" wrapText="1"/>
    </xf>
    <xf numFmtId="165" fontId="0" fillId="0" borderId="0" xfId="1" applyNumberFormat="1" applyFont="1" applyAlignment="1">
      <alignment vertical="top" wrapText="1"/>
    </xf>
    <xf numFmtId="43" fontId="0" fillId="0" borderId="0" xfId="1" applyFont="1" applyAlignment="1">
      <alignment vertical="top" wrapText="1"/>
    </xf>
    <xf numFmtId="0" fontId="0" fillId="0" borderId="0" xfId="0" applyAlignment="1">
      <alignment horizontal="center"/>
    </xf>
    <xf numFmtId="166" fontId="0" fillId="0" borderId="0" xfId="2" applyNumberFormat="1" applyFont="1" applyAlignment="1">
      <alignment horizontal="center"/>
    </xf>
    <xf numFmtId="43" fontId="0" fillId="33" borderId="0" xfId="1" applyFont="1" applyFill="1"/>
    <xf numFmtId="165" fontId="0" fillId="33" borderId="0" xfId="1" applyNumberFormat="1" applyFont="1" applyFill="1"/>
    <xf numFmtId="0" fontId="0" fillId="0" borderId="0" xfId="0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20" fillId="33" borderId="0" xfId="0" applyFont="1" applyFill="1"/>
    <xf numFmtId="0" fontId="0" fillId="33" borderId="0" xfId="0" applyFill="1"/>
    <xf numFmtId="0" fontId="14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165" fontId="0" fillId="33" borderId="0" xfId="0" applyNumberFormat="1" applyFill="1"/>
    <xf numFmtId="0" fontId="0" fillId="0" borderId="0" xfId="0" applyAlignment="1">
      <alignment horizontal="left" vertical="top"/>
    </xf>
    <xf numFmtId="0" fontId="21" fillId="0" borderId="0" xfId="0" applyFont="1"/>
    <xf numFmtId="165" fontId="21" fillId="0" borderId="0" xfId="1" applyNumberFormat="1" applyFont="1"/>
    <xf numFmtId="164" fontId="21" fillId="0" borderId="0" xfId="1" applyNumberFormat="1" applyFont="1"/>
    <xf numFmtId="164" fontId="21" fillId="0" borderId="0" xfId="0" applyNumberFormat="1" applyFont="1"/>
    <xf numFmtId="9" fontId="0" fillId="0" borderId="0" xfId="0" applyNumberFormat="1"/>
    <xf numFmtId="0" fontId="22" fillId="0" borderId="0" xfId="0" applyFont="1"/>
    <xf numFmtId="0" fontId="0" fillId="0" borderId="0" xfId="0" applyFont="1"/>
    <xf numFmtId="0" fontId="24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U" id="{5E0609C9-F47C-1240-A063-C18A34FDDA35}" userId="E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11-25T09:34:07.87" personId="{5E0609C9-F47C-1240-A063-C18A34FDDA35}" id="{8C6BB57B-27B5-5A4F-8438-7F8706399291}">
    <text>total vat foregone / total expenditures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A3A6-21B0-C748-9C6F-D3C4321EDE44}">
  <dimension ref="A1:N16"/>
  <sheetViews>
    <sheetView zoomScale="130" zoomScaleNormal="130" workbookViewId="0">
      <selection activeCell="H15" sqref="H15:K15"/>
    </sheetView>
  </sheetViews>
  <sheetFormatPr baseColWidth="10" defaultRowHeight="16" x14ac:dyDescent="0.2"/>
  <cols>
    <col min="1" max="1" width="9.1640625" customWidth="1"/>
    <col min="2" max="2" width="13" style="3" bestFit="1" customWidth="1"/>
    <col min="3" max="4" width="18.6640625" style="3" bestFit="1" customWidth="1"/>
    <col min="5" max="6" width="17.6640625" style="3" bestFit="1" customWidth="1"/>
    <col min="7" max="7" width="18.6640625" style="3" bestFit="1" customWidth="1"/>
    <col min="8" max="13" width="11" style="3" bestFit="1" customWidth="1"/>
    <col min="14" max="14" width="17.83203125" style="1" customWidth="1"/>
  </cols>
  <sheetData>
    <row r="1" spans="1:14" s="4" customFormat="1" ht="40" customHeight="1" x14ac:dyDescent="0.2">
      <c r="B1" s="5"/>
      <c r="C1" s="5"/>
      <c r="D1" s="5"/>
      <c r="E1" s="5" t="s">
        <v>17</v>
      </c>
      <c r="F1" s="5" t="s">
        <v>18</v>
      </c>
      <c r="G1" s="5"/>
      <c r="H1" s="5"/>
      <c r="I1" s="5"/>
      <c r="J1" s="5"/>
      <c r="K1" s="5"/>
      <c r="L1" s="5"/>
      <c r="M1" s="5"/>
      <c r="N1" s="6"/>
    </row>
    <row r="2" spans="1:14" s="4" customFormat="1" ht="51" x14ac:dyDescent="0.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</row>
    <row r="3" spans="1:14" x14ac:dyDescent="0.2">
      <c r="A3">
        <v>1</v>
      </c>
      <c r="B3" s="3">
        <v>2747642.50515944</v>
      </c>
      <c r="C3" s="3">
        <v>32807166219.147499</v>
      </c>
      <c r="D3" s="3">
        <v>29276373226.599098</v>
      </c>
      <c r="E3" s="3">
        <v>12730887016.797501</v>
      </c>
      <c r="F3" s="3">
        <v>16287403643.337299</v>
      </c>
      <c r="G3" s="3">
        <v>29018290660.1348</v>
      </c>
      <c r="H3" s="2">
        <v>43.871939825480901</v>
      </c>
      <c r="I3" s="2">
        <v>56.128060174519</v>
      </c>
      <c r="J3" s="2">
        <v>38.805201679891702</v>
      </c>
      <c r="K3" s="2">
        <v>49.645871681021198</v>
      </c>
      <c r="L3" s="2">
        <v>43.485191687715101</v>
      </c>
      <c r="M3" s="2">
        <v>55.633269590030203</v>
      </c>
      <c r="N3" s="1">
        <f>G3/B3</f>
        <v>10561.159468760994</v>
      </c>
    </row>
    <row r="4" spans="1:14" x14ac:dyDescent="0.2">
      <c r="A4">
        <v>2</v>
      </c>
      <c r="B4" s="3">
        <v>2748295.6540946802</v>
      </c>
      <c r="C4" s="3">
        <v>41822410674.936996</v>
      </c>
      <c r="D4" s="3">
        <v>35426039310.566101</v>
      </c>
      <c r="E4" s="3">
        <v>16171881744.9347</v>
      </c>
      <c r="F4" s="3">
        <v>18893257154.780602</v>
      </c>
      <c r="G4" s="3">
        <v>35065138899.715302</v>
      </c>
      <c r="H4" s="2">
        <v>46.119542806277003</v>
      </c>
      <c r="I4" s="2">
        <v>53.880457193722897</v>
      </c>
      <c r="J4" s="2">
        <v>38.667980835992402</v>
      </c>
      <c r="K4" s="2">
        <v>45.174959668460197</v>
      </c>
      <c r="L4" s="2">
        <v>45.649703042336199</v>
      </c>
      <c r="M4" s="2">
        <v>53.331553632487299</v>
      </c>
      <c r="N4" s="1">
        <f t="shared" ref="N4:N12" si="0">G4/B4</f>
        <v>12758.867062745532</v>
      </c>
    </row>
    <row r="5" spans="1:14" x14ac:dyDescent="0.2">
      <c r="A5">
        <v>3</v>
      </c>
      <c r="B5" s="3">
        <v>2747874.69444041</v>
      </c>
      <c r="C5" s="3">
        <v>47728594014.963997</v>
      </c>
      <c r="D5" s="3">
        <v>39497871055.729301</v>
      </c>
      <c r="E5" s="3">
        <v>18492395560.589802</v>
      </c>
      <c r="F5" s="3">
        <v>20558976669.909401</v>
      </c>
      <c r="G5" s="3">
        <v>39051372230.499298</v>
      </c>
      <c r="H5" s="2">
        <v>47.354022418057802</v>
      </c>
      <c r="I5" s="2">
        <v>52.645977581942098</v>
      </c>
      <c r="J5" s="2">
        <v>38.744899032207101</v>
      </c>
      <c r="K5" s="2">
        <v>43.074758630986999</v>
      </c>
      <c r="L5" s="2">
        <v>46.8187146960353</v>
      </c>
      <c r="M5" s="2">
        <v>52.050847603664103</v>
      </c>
      <c r="N5" s="1">
        <f t="shared" si="0"/>
        <v>14211.48217184332</v>
      </c>
    </row>
    <row r="6" spans="1:14" x14ac:dyDescent="0.2">
      <c r="A6">
        <v>4</v>
      </c>
      <c r="B6" s="3">
        <v>2747979.4784429399</v>
      </c>
      <c r="C6" s="3">
        <v>55228987672.520798</v>
      </c>
      <c r="D6" s="3">
        <v>44792749154.822098</v>
      </c>
      <c r="E6" s="3">
        <v>21174220742.446899</v>
      </c>
      <c r="F6" s="3">
        <v>23060388456.8377</v>
      </c>
      <c r="G6" s="3">
        <v>44234609199.284698</v>
      </c>
      <c r="H6" s="2">
        <v>47.867995503370103</v>
      </c>
      <c r="I6" s="2">
        <v>52.132004496629797</v>
      </c>
      <c r="J6" s="2">
        <v>38.338962263800802</v>
      </c>
      <c r="K6" s="2">
        <v>41.754139318239503</v>
      </c>
      <c r="L6" s="2">
        <v>47.271536447249801</v>
      </c>
      <c r="M6" s="2">
        <v>51.4824137655215</v>
      </c>
      <c r="N6" s="1">
        <f t="shared" si="0"/>
        <v>16097.13956974268</v>
      </c>
    </row>
    <row r="7" spans="1:14" x14ac:dyDescent="0.2">
      <c r="A7">
        <v>5</v>
      </c>
      <c r="B7" s="3">
        <v>2747628.8515828899</v>
      </c>
      <c r="C7" s="3">
        <v>62300009849.796898</v>
      </c>
      <c r="D7" s="3">
        <v>49501029635.587097</v>
      </c>
      <c r="E7" s="3">
        <v>23802239836.017101</v>
      </c>
      <c r="F7" s="3">
        <v>25029174922.970699</v>
      </c>
      <c r="G7" s="3">
        <v>48831414758.9879</v>
      </c>
      <c r="H7" s="2">
        <v>48.743703113037597</v>
      </c>
      <c r="I7" s="2">
        <v>51.256296886962197</v>
      </c>
      <c r="J7" s="2">
        <v>38.205836392969204</v>
      </c>
      <c r="K7" s="2">
        <v>40.175234295010902</v>
      </c>
      <c r="L7" s="2">
        <v>48.084332813362899</v>
      </c>
      <c r="M7" s="2">
        <v>50.5629379979136</v>
      </c>
      <c r="N7" s="1">
        <f t="shared" si="0"/>
        <v>17772.201922707449</v>
      </c>
    </row>
    <row r="8" spans="1:14" x14ac:dyDescent="0.2">
      <c r="A8">
        <v>6</v>
      </c>
      <c r="B8" s="3">
        <v>2748336.9317767601</v>
      </c>
      <c r="C8" s="3">
        <v>70697712578.309692</v>
      </c>
      <c r="D8" s="3">
        <v>54853430904.834999</v>
      </c>
      <c r="E8" s="3">
        <v>26514380477.310398</v>
      </c>
      <c r="F8" s="3">
        <v>27502940702.588501</v>
      </c>
      <c r="G8" s="3">
        <v>54017321179.898903</v>
      </c>
      <c r="H8" s="2">
        <v>49.084959968686903</v>
      </c>
      <c r="I8" s="2">
        <v>50.915040031313097</v>
      </c>
      <c r="J8" s="2">
        <v>37.503873195248303</v>
      </c>
      <c r="K8" s="2">
        <v>38.902164864420897</v>
      </c>
      <c r="L8" s="2">
        <v>48.336776824972098</v>
      </c>
      <c r="M8" s="2">
        <v>50.138961681910502</v>
      </c>
      <c r="N8" s="1">
        <f t="shared" si="0"/>
        <v>19654.54837627113</v>
      </c>
    </row>
    <row r="9" spans="1:14" x14ac:dyDescent="0.2">
      <c r="A9">
        <v>7</v>
      </c>
      <c r="B9" s="3">
        <v>2747846.3569293302</v>
      </c>
      <c r="C9" s="3">
        <v>80541995781.497406</v>
      </c>
      <c r="D9" s="3">
        <v>60962714759.237099</v>
      </c>
      <c r="E9" s="3">
        <v>29742875498.603001</v>
      </c>
      <c r="F9" s="3">
        <v>30134718319.903301</v>
      </c>
      <c r="G9" s="3">
        <v>59877593818.506302</v>
      </c>
      <c r="H9" s="2">
        <v>49.672796787319001</v>
      </c>
      <c r="I9" s="2">
        <v>50.327203212680899</v>
      </c>
      <c r="J9" s="2">
        <v>36.928406367396803</v>
      </c>
      <c r="K9" s="2">
        <v>37.414913831606398</v>
      </c>
      <c r="L9" s="2">
        <v>48.788633537840099</v>
      </c>
      <c r="M9" s="2">
        <v>49.431391693949003</v>
      </c>
      <c r="N9" s="1">
        <f t="shared" si="0"/>
        <v>21790.735740195625</v>
      </c>
    </row>
    <row r="10" spans="1:14" x14ac:dyDescent="0.2">
      <c r="A10">
        <v>8</v>
      </c>
      <c r="B10" s="3">
        <v>2747984.4327531499</v>
      </c>
      <c r="C10" s="3">
        <v>95316514865.332199</v>
      </c>
      <c r="D10" s="3">
        <v>69592985603.748001</v>
      </c>
      <c r="E10" s="3">
        <v>33989743428.753101</v>
      </c>
      <c r="F10" s="3">
        <v>34113196809.400902</v>
      </c>
      <c r="G10" s="3">
        <v>68102940238.154099</v>
      </c>
      <c r="H10" s="2">
        <v>49.909362664654402</v>
      </c>
      <c r="I10" s="2">
        <v>50.090637335345598</v>
      </c>
      <c r="J10" s="2">
        <v>35.659868047814697</v>
      </c>
      <c r="K10" s="2">
        <v>35.789387450430397</v>
      </c>
      <c r="L10" s="2">
        <v>48.8407605075109</v>
      </c>
      <c r="M10" s="2">
        <v>49.018153932403898</v>
      </c>
      <c r="N10" s="1">
        <f t="shared" si="0"/>
        <v>24782.869737701949</v>
      </c>
    </row>
    <row r="11" spans="1:14" x14ac:dyDescent="0.2">
      <c r="A11">
        <v>9</v>
      </c>
      <c r="B11" s="3">
        <v>2748042.5822946099</v>
      </c>
      <c r="C11" s="3">
        <v>117372854152.933</v>
      </c>
      <c r="D11" s="3">
        <v>82061193028.969299</v>
      </c>
      <c r="E11" s="3">
        <v>40088129768.291</v>
      </c>
      <c r="F11" s="3">
        <v>39657623068.682297</v>
      </c>
      <c r="G11" s="3">
        <v>79745752836.973297</v>
      </c>
      <c r="H11" s="2">
        <v>50.269924531585197</v>
      </c>
      <c r="I11" s="2">
        <v>49.730075468414697</v>
      </c>
      <c r="J11" s="2">
        <v>34.154515588465898</v>
      </c>
      <c r="K11" s="2">
        <v>33.7877300120943</v>
      </c>
      <c r="L11" s="2">
        <v>48.851507379546597</v>
      </c>
      <c r="M11" s="2">
        <v>48.326890707867697</v>
      </c>
      <c r="N11" s="1">
        <f t="shared" si="0"/>
        <v>29019.111039533367</v>
      </c>
    </row>
    <row r="12" spans="1:14" x14ac:dyDescent="0.2">
      <c r="A12">
        <v>10</v>
      </c>
      <c r="B12" s="3">
        <v>2748063.5193039002</v>
      </c>
      <c r="C12" s="3">
        <v>205068163103.01001</v>
      </c>
      <c r="D12" s="3">
        <v>124958992792.82401</v>
      </c>
      <c r="E12" s="3">
        <v>59564986259.146202</v>
      </c>
      <c r="F12" s="3">
        <v>59038151385.299301</v>
      </c>
      <c r="G12" s="3">
        <v>118603137644.44501</v>
      </c>
      <c r="H12" s="2">
        <v>50.222099888885801</v>
      </c>
      <c r="I12" s="2">
        <v>49.7779001111141</v>
      </c>
      <c r="J12" s="2">
        <v>29.046432833762299</v>
      </c>
      <c r="K12" s="2">
        <v>28.7895256347729</v>
      </c>
      <c r="L12" s="2">
        <v>47.667626737278198</v>
      </c>
      <c r="M12" s="2">
        <v>47.246020527055002</v>
      </c>
      <c r="N12" s="1">
        <f t="shared" si="0"/>
        <v>43158.805031729338</v>
      </c>
    </row>
    <row r="13" spans="1:14" x14ac:dyDescent="0.2">
      <c r="H13" s="1"/>
    </row>
    <row r="14" spans="1:14" s="17" customFormat="1" ht="51" x14ac:dyDescent="0.2">
      <c r="B14" s="18"/>
      <c r="C14" s="18"/>
      <c r="D14" s="18"/>
      <c r="E14" s="18"/>
      <c r="F14" s="18"/>
      <c r="G14" s="18"/>
      <c r="H14" s="18"/>
      <c r="I14" s="18"/>
      <c r="J14" s="18" t="s">
        <v>15</v>
      </c>
      <c r="K14" s="18"/>
      <c r="L14" s="18" t="s">
        <v>14</v>
      </c>
      <c r="M14" s="18"/>
      <c r="N14" s="19"/>
    </row>
    <row r="15" spans="1:14" s="17" customFormat="1" ht="102" x14ac:dyDescent="0.2">
      <c r="B15" s="18"/>
      <c r="C15" s="18"/>
      <c r="D15" s="18"/>
      <c r="E15" s="18"/>
      <c r="F15" s="18"/>
      <c r="G15" s="18"/>
      <c r="H15" s="18" t="s">
        <v>16</v>
      </c>
      <c r="I15" s="18"/>
      <c r="J15" s="18"/>
      <c r="K15" s="18"/>
      <c r="L15" s="18"/>
      <c r="M15" s="18"/>
      <c r="N15" s="19"/>
    </row>
    <row r="16" spans="1:14" s="14" customFormat="1" x14ac:dyDescent="0.2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</row>
  </sheetData>
  <conditionalFormatting sqref="H3:H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DD6E-9753-F443-8851-2FA8C38B9693}">
  <dimension ref="A1:O12"/>
  <sheetViews>
    <sheetView zoomScale="140" zoomScaleNormal="140" workbookViewId="0">
      <selection activeCell="S16" sqref="S16"/>
    </sheetView>
  </sheetViews>
  <sheetFormatPr baseColWidth="10" defaultRowHeight="16" x14ac:dyDescent="0.2"/>
  <cols>
    <col min="1" max="1" width="9.33203125" customWidth="1"/>
    <col min="2" max="2" width="13" style="3" bestFit="1" customWidth="1"/>
    <col min="3" max="4" width="18.6640625" style="3" bestFit="1" customWidth="1"/>
    <col min="5" max="6" width="17.6640625" style="3" bestFit="1" customWidth="1"/>
    <col min="7" max="7" width="18.6640625" style="3" bestFit="1" customWidth="1"/>
    <col min="8" max="13" width="11" style="3" hidden="1" customWidth="1"/>
    <col min="14" max="15" width="11" style="3" bestFit="1" customWidth="1"/>
  </cols>
  <sheetData>
    <row r="1" spans="1:15" s="4" customFormat="1" ht="5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64</v>
      </c>
      <c r="O1" s="5" t="s">
        <v>65</v>
      </c>
    </row>
    <row r="2" spans="1:15" x14ac:dyDescent="0.2">
      <c r="A2">
        <v>1</v>
      </c>
      <c r="B2" s="3">
        <v>2747642.50515944</v>
      </c>
      <c r="C2" s="3">
        <v>32807166219.147499</v>
      </c>
      <c r="D2" s="3">
        <v>29276373226.599098</v>
      </c>
      <c r="E2" s="3">
        <v>12730887016.797501</v>
      </c>
      <c r="F2" s="3">
        <v>16287403643.337299</v>
      </c>
      <c r="G2" s="3">
        <v>29018290660.1348</v>
      </c>
      <c r="H2" s="2">
        <v>43.871939825480901</v>
      </c>
      <c r="I2" s="2">
        <v>56.128060174519</v>
      </c>
      <c r="J2" s="2">
        <v>38.805201679891702</v>
      </c>
      <c r="K2" s="2">
        <v>49.645871681021198</v>
      </c>
      <c r="L2" s="2">
        <v>43.485191687715101</v>
      </c>
      <c r="M2" s="2">
        <v>55.633269590030203</v>
      </c>
      <c r="N2" s="2">
        <v>4.5101528767221497</v>
      </c>
      <c r="O2" s="2">
        <v>5.5347405121886402</v>
      </c>
    </row>
    <row r="3" spans="1:15" x14ac:dyDescent="0.2">
      <c r="A3">
        <v>2</v>
      </c>
      <c r="B3" s="3">
        <v>2748295.6540946802</v>
      </c>
      <c r="C3" s="3">
        <v>41822410674.936996</v>
      </c>
      <c r="D3" s="3">
        <v>35426039310.566101</v>
      </c>
      <c r="E3" s="3">
        <v>16171881744.9347</v>
      </c>
      <c r="F3" s="3">
        <v>18893257154.780602</v>
      </c>
      <c r="G3" s="3">
        <v>35065138899.715302</v>
      </c>
      <c r="H3" s="2">
        <v>46.119542806277003</v>
      </c>
      <c r="I3" s="2">
        <v>53.880457193722897</v>
      </c>
      <c r="J3" s="2">
        <v>38.667980835992402</v>
      </c>
      <c r="K3" s="2">
        <v>45.174959668460197</v>
      </c>
      <c r="L3" s="2">
        <v>45.649703042336199</v>
      </c>
      <c r="M3" s="2">
        <v>53.331553632487299</v>
      </c>
      <c r="N3" s="2">
        <v>5.7291890877431797</v>
      </c>
      <c r="O3" s="2">
        <v>6.4202544537869501</v>
      </c>
    </row>
    <row r="4" spans="1:15" x14ac:dyDescent="0.2">
      <c r="A4">
        <v>3</v>
      </c>
      <c r="B4" s="3">
        <v>2747874.69444041</v>
      </c>
      <c r="C4" s="3">
        <v>47728594014.963997</v>
      </c>
      <c r="D4" s="3">
        <v>39497871055.729301</v>
      </c>
      <c r="E4" s="3">
        <v>18492395560.589802</v>
      </c>
      <c r="F4" s="3">
        <v>20558976669.909401</v>
      </c>
      <c r="G4" s="3">
        <v>39051372230.499298</v>
      </c>
      <c r="H4" s="2">
        <v>47.354022418057802</v>
      </c>
      <c r="I4" s="2">
        <v>52.645977581942098</v>
      </c>
      <c r="J4" s="2">
        <v>38.744899032207101</v>
      </c>
      <c r="K4" s="2">
        <v>43.074758630986999</v>
      </c>
      <c r="L4" s="2">
        <v>46.8187146960353</v>
      </c>
      <c r="M4" s="2">
        <v>52.050847603664103</v>
      </c>
      <c r="N4" s="2">
        <v>6.5512741512066697</v>
      </c>
      <c r="O4" s="2">
        <v>6.9862946578742502</v>
      </c>
    </row>
    <row r="5" spans="1:15" x14ac:dyDescent="0.2">
      <c r="A5">
        <v>4</v>
      </c>
      <c r="B5" s="3">
        <v>2747979.4784429399</v>
      </c>
      <c r="C5" s="3">
        <v>55228987672.520798</v>
      </c>
      <c r="D5" s="3">
        <v>44792749154.822098</v>
      </c>
      <c r="E5" s="3">
        <v>21174220742.446899</v>
      </c>
      <c r="F5" s="3">
        <v>23060388456.8377</v>
      </c>
      <c r="G5" s="3">
        <v>44234609199.284698</v>
      </c>
      <c r="H5" s="2">
        <v>47.867995503370103</v>
      </c>
      <c r="I5" s="2">
        <v>52.132004496629797</v>
      </c>
      <c r="J5" s="2">
        <v>38.338962263800802</v>
      </c>
      <c r="K5" s="2">
        <v>41.754139318239503</v>
      </c>
      <c r="L5" s="2">
        <v>47.271536447249801</v>
      </c>
      <c r="M5" s="2">
        <v>51.4824137655215</v>
      </c>
      <c r="N5" s="2">
        <v>7.5013604682763004</v>
      </c>
      <c r="O5" s="2">
        <v>7.8363175011677102</v>
      </c>
    </row>
    <row r="6" spans="1:15" x14ac:dyDescent="0.2">
      <c r="A6">
        <v>5</v>
      </c>
      <c r="B6" s="3">
        <v>2747628.8515828899</v>
      </c>
      <c r="C6" s="3">
        <v>62300009849.796898</v>
      </c>
      <c r="D6" s="3">
        <v>49501029635.587097</v>
      </c>
      <c r="E6" s="3">
        <v>23802239836.017101</v>
      </c>
      <c r="F6" s="3">
        <v>25029174922.970699</v>
      </c>
      <c r="G6" s="3">
        <v>48831414758.9879</v>
      </c>
      <c r="H6" s="2">
        <v>48.743703113037597</v>
      </c>
      <c r="I6" s="2">
        <v>51.256296886962197</v>
      </c>
      <c r="J6" s="2">
        <v>38.205836392969204</v>
      </c>
      <c r="K6" s="2">
        <v>40.175234295010902</v>
      </c>
      <c r="L6" s="2">
        <v>48.084332813362899</v>
      </c>
      <c r="M6" s="2">
        <v>50.5629379979136</v>
      </c>
      <c r="N6" s="2">
        <v>8.43238498049665</v>
      </c>
      <c r="O6" s="2">
        <v>8.5053450793239804</v>
      </c>
    </row>
    <row r="7" spans="1:15" x14ac:dyDescent="0.2">
      <c r="A7">
        <v>6</v>
      </c>
      <c r="B7" s="3">
        <v>2748336.9317767601</v>
      </c>
      <c r="C7" s="3">
        <v>70697712578.309692</v>
      </c>
      <c r="D7" s="3">
        <v>54853430904.834999</v>
      </c>
      <c r="E7" s="3">
        <v>26514380477.310398</v>
      </c>
      <c r="F7" s="3">
        <v>27502940702.588501</v>
      </c>
      <c r="G7" s="3">
        <v>54017321179.898903</v>
      </c>
      <c r="H7" s="2">
        <v>49.084959968686903</v>
      </c>
      <c r="I7" s="2">
        <v>50.915040031313097</v>
      </c>
      <c r="J7" s="2">
        <v>37.503873195248303</v>
      </c>
      <c r="K7" s="2">
        <v>38.902164864420897</v>
      </c>
      <c r="L7" s="2">
        <v>48.336776824972098</v>
      </c>
      <c r="M7" s="2">
        <v>50.138961681910502</v>
      </c>
      <c r="N7" s="2">
        <v>9.39321111140681</v>
      </c>
      <c r="O7" s="2">
        <v>9.3459733327851708</v>
      </c>
    </row>
    <row r="8" spans="1:15" x14ac:dyDescent="0.2">
      <c r="A8">
        <v>7</v>
      </c>
      <c r="B8" s="3">
        <v>2747846.3569293302</v>
      </c>
      <c r="C8" s="3">
        <v>80541995781.497406</v>
      </c>
      <c r="D8" s="3">
        <v>60962714759.237099</v>
      </c>
      <c r="E8" s="3">
        <v>29742875498.603001</v>
      </c>
      <c r="F8" s="3">
        <v>30134718319.903301</v>
      </c>
      <c r="G8" s="3">
        <v>59877593818.506302</v>
      </c>
      <c r="H8" s="2">
        <v>49.672796787319001</v>
      </c>
      <c r="I8" s="2">
        <v>50.327203212680899</v>
      </c>
      <c r="J8" s="2">
        <v>36.928406367396803</v>
      </c>
      <c r="K8" s="2">
        <v>37.414913831606398</v>
      </c>
      <c r="L8" s="2">
        <v>48.788633537840099</v>
      </c>
      <c r="M8" s="2">
        <v>49.431391693949003</v>
      </c>
      <c r="N8" s="2">
        <v>10.5369653595243</v>
      </c>
      <c r="O8" s="2">
        <v>10.240296732425501</v>
      </c>
    </row>
    <row r="9" spans="1:15" x14ac:dyDescent="0.2">
      <c r="A9">
        <v>8</v>
      </c>
      <c r="B9" s="3">
        <v>2747984.4327531499</v>
      </c>
      <c r="C9" s="3">
        <v>95316514865.332199</v>
      </c>
      <c r="D9" s="3">
        <v>69592985603.748001</v>
      </c>
      <c r="E9" s="3">
        <v>33989743428.753101</v>
      </c>
      <c r="F9" s="3">
        <v>34113196809.400902</v>
      </c>
      <c r="G9" s="3">
        <v>68102940238.154099</v>
      </c>
      <c r="H9" s="2">
        <v>49.909362664654402</v>
      </c>
      <c r="I9" s="2">
        <v>50.090637335345598</v>
      </c>
      <c r="J9" s="2">
        <v>35.659868047814697</v>
      </c>
      <c r="K9" s="2">
        <v>35.789387450430397</v>
      </c>
      <c r="L9" s="2">
        <v>48.8407605075109</v>
      </c>
      <c r="M9" s="2">
        <v>49.018153932403898</v>
      </c>
      <c r="N9" s="2">
        <v>12.041497100867399</v>
      </c>
      <c r="O9" s="2">
        <v>11.5922523021949</v>
      </c>
    </row>
    <row r="10" spans="1:15" x14ac:dyDescent="0.2">
      <c r="A10">
        <v>9</v>
      </c>
      <c r="B10" s="3">
        <v>2748042.5822946099</v>
      </c>
      <c r="C10" s="3">
        <v>117372854152.933</v>
      </c>
      <c r="D10" s="3">
        <v>82061193028.969299</v>
      </c>
      <c r="E10" s="3">
        <v>40088129768.291</v>
      </c>
      <c r="F10" s="3">
        <v>39657623068.682297</v>
      </c>
      <c r="G10" s="3">
        <v>79745752836.973297</v>
      </c>
      <c r="H10" s="2">
        <v>50.269924531585197</v>
      </c>
      <c r="I10" s="2">
        <v>49.730075468414697</v>
      </c>
      <c r="J10" s="2">
        <v>34.154515588465898</v>
      </c>
      <c r="K10" s="2">
        <v>33.7877300120943</v>
      </c>
      <c r="L10" s="2">
        <v>48.851507379546597</v>
      </c>
      <c r="M10" s="2">
        <v>48.326890707867697</v>
      </c>
      <c r="N10" s="2">
        <v>14.2019635833945</v>
      </c>
      <c r="O10" s="2">
        <v>13.4763439171676</v>
      </c>
    </row>
    <row r="11" spans="1:15" x14ac:dyDescent="0.2">
      <c r="A11">
        <v>10</v>
      </c>
      <c r="B11" s="3">
        <v>2748063.5193039002</v>
      </c>
      <c r="C11" s="3">
        <v>205068163103.01001</v>
      </c>
      <c r="D11" s="3">
        <v>124958992792.82401</v>
      </c>
      <c r="E11" s="3">
        <v>59564986259.146202</v>
      </c>
      <c r="F11" s="3">
        <v>59038151385.299301</v>
      </c>
      <c r="G11" s="3">
        <v>118603137644.44501</v>
      </c>
      <c r="H11" s="2">
        <v>50.222099888885801</v>
      </c>
      <c r="I11" s="2">
        <v>49.7779001111141</v>
      </c>
      <c r="J11" s="2">
        <v>29.046432833762299</v>
      </c>
      <c r="K11" s="2">
        <v>28.7895256347729</v>
      </c>
      <c r="L11" s="2">
        <v>47.667626737278198</v>
      </c>
      <c r="M11" s="2">
        <v>47.246020527055002</v>
      </c>
      <c r="N11" s="2">
        <v>21.102001280361801</v>
      </c>
      <c r="O11" s="2">
        <v>20.0621815110851</v>
      </c>
    </row>
    <row r="12" spans="1:15" x14ac:dyDescent="0.2">
      <c r="N12" s="3">
        <f>SUM(N2:N11)</f>
        <v>99.999999999999773</v>
      </c>
      <c r="O12" s="3">
        <f>SUM(O2:O11)</f>
        <v>99.999999999999787</v>
      </c>
    </row>
  </sheetData>
  <conditionalFormatting sqref="N2:N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754D-7372-CC4E-BD4E-7F3298F29258}">
  <dimension ref="A1:Q38"/>
  <sheetViews>
    <sheetView topLeftCell="A9" zoomScale="120" zoomScaleNormal="120" workbookViewId="0">
      <selection activeCell="E40" sqref="E40"/>
    </sheetView>
  </sheetViews>
  <sheetFormatPr baseColWidth="10" defaultRowHeight="16" x14ac:dyDescent="0.2"/>
  <cols>
    <col min="2" max="2" width="13" bestFit="1" customWidth="1"/>
    <col min="3" max="3" width="17.6640625" bestFit="1" customWidth="1"/>
    <col min="4" max="4" width="15" bestFit="1" customWidth="1"/>
    <col min="5" max="5" width="16.6640625" bestFit="1" customWidth="1"/>
    <col min="6" max="6" width="17.6640625" bestFit="1" customWidth="1"/>
    <col min="7" max="8" width="16.6640625" bestFit="1" customWidth="1"/>
    <col min="9" max="9" width="17.6640625" bestFit="1" customWidth="1"/>
    <col min="10" max="16" width="16.6640625" bestFit="1" customWidth="1"/>
    <col min="17" max="17" width="18.6640625" bestFit="1" customWidth="1"/>
    <col min="18" max="31" width="11" bestFit="1" customWidth="1"/>
  </cols>
  <sheetData>
    <row r="1" spans="1:17" x14ac:dyDescent="0.2">
      <c r="A1" t="s">
        <v>0</v>
      </c>
      <c r="B1" t="s">
        <v>1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6</v>
      </c>
    </row>
    <row r="2" spans="1:17" x14ac:dyDescent="0.2">
      <c r="A2">
        <v>1</v>
      </c>
      <c r="B2" s="3">
        <v>2747642.50515944</v>
      </c>
      <c r="C2" s="3">
        <v>15990838401.663799</v>
      </c>
      <c r="D2" s="3">
        <v>532822247.77749002</v>
      </c>
      <c r="E2" s="3">
        <v>564853994.856848</v>
      </c>
      <c r="F2" s="3">
        <v>4851582289.2920704</v>
      </c>
      <c r="G2" s="3">
        <v>730437484.37439799</v>
      </c>
      <c r="H2" s="3">
        <v>408542791.85708499</v>
      </c>
      <c r="I2" s="3">
        <v>1647689285.14065</v>
      </c>
      <c r="J2" s="3">
        <v>570623163.44423401</v>
      </c>
      <c r="K2" s="3">
        <v>234558957.221908</v>
      </c>
      <c r="L2" s="3">
        <v>778563951.59147406</v>
      </c>
      <c r="M2" s="3">
        <v>874077739.09213305</v>
      </c>
      <c r="N2" s="3">
        <v>118238780.85100999</v>
      </c>
      <c r="O2" s="3">
        <v>1275190823.7764201</v>
      </c>
      <c r="P2" s="3">
        <v>440270749.19526398</v>
      </c>
      <c r="Q2" s="3">
        <v>29018290660.1348</v>
      </c>
    </row>
    <row r="3" spans="1:17" x14ac:dyDescent="0.2">
      <c r="A3">
        <v>2</v>
      </c>
      <c r="B3" s="3">
        <v>2748295.6540946802</v>
      </c>
      <c r="C3" s="3">
        <v>17716769683.024899</v>
      </c>
      <c r="D3" s="3">
        <v>679454265.27848995</v>
      </c>
      <c r="E3" s="3">
        <v>654181871.97005904</v>
      </c>
      <c r="F3" s="3">
        <v>6506024243.4251699</v>
      </c>
      <c r="G3" s="3">
        <v>881410870.81025696</v>
      </c>
      <c r="H3" s="3">
        <v>588463889.93382394</v>
      </c>
      <c r="I3" s="3">
        <v>2209567133.0144501</v>
      </c>
      <c r="J3" s="3">
        <v>881329606.77100205</v>
      </c>
      <c r="K3" s="3">
        <v>261434219.26473999</v>
      </c>
      <c r="L3" s="3">
        <v>988601374.00612104</v>
      </c>
      <c r="M3" s="3">
        <v>1383777550.8020301</v>
      </c>
      <c r="N3" s="3">
        <v>261001773.656665</v>
      </c>
      <c r="O3" s="3">
        <v>1481422342.8584399</v>
      </c>
      <c r="P3" s="3">
        <v>571700074.899122</v>
      </c>
      <c r="Q3" s="3">
        <v>35065138899.715302</v>
      </c>
    </row>
    <row r="4" spans="1:17" x14ac:dyDescent="0.2">
      <c r="A4">
        <v>3</v>
      </c>
      <c r="B4" s="3">
        <v>2747874.69444041</v>
      </c>
      <c r="C4" s="3">
        <v>18475048280.205399</v>
      </c>
      <c r="D4" s="3">
        <v>723181191.12306404</v>
      </c>
      <c r="E4" s="3">
        <v>696214900.67047298</v>
      </c>
      <c r="F4" s="3">
        <v>7845053068.3553104</v>
      </c>
      <c r="G4" s="3">
        <v>974659334.59175599</v>
      </c>
      <c r="H4" s="3">
        <v>703343414.58053601</v>
      </c>
      <c r="I4" s="3">
        <v>2648397049.2077498</v>
      </c>
      <c r="J4" s="3">
        <v>1136884432.5229299</v>
      </c>
      <c r="K4" s="3">
        <v>264581837.98253599</v>
      </c>
      <c r="L4" s="3">
        <v>1068174669.81612</v>
      </c>
      <c r="M4" s="3">
        <v>1842159837.16152</v>
      </c>
      <c r="N4" s="3">
        <v>388142803.27591199</v>
      </c>
      <c r="O4" s="3">
        <v>1602883322.36692</v>
      </c>
      <c r="P4" s="3">
        <v>682648088.63905203</v>
      </c>
      <c r="Q4" s="3">
        <v>39051372230.499298</v>
      </c>
    </row>
    <row r="5" spans="1:17" x14ac:dyDescent="0.2">
      <c r="A5">
        <v>4</v>
      </c>
      <c r="B5" s="3">
        <v>2747979.4784429399</v>
      </c>
      <c r="C5" s="3">
        <v>19578006372.944302</v>
      </c>
      <c r="D5" s="3">
        <v>829365937.75525296</v>
      </c>
      <c r="E5" s="3">
        <v>770862790.78202701</v>
      </c>
      <c r="F5" s="3">
        <v>9407953174.9176998</v>
      </c>
      <c r="G5" s="3">
        <v>1113292305.38515</v>
      </c>
      <c r="H5" s="3">
        <v>933054622.611678</v>
      </c>
      <c r="I5" s="3">
        <v>3056504343.7639899</v>
      </c>
      <c r="J5" s="3">
        <v>1517334535.48276</v>
      </c>
      <c r="K5" s="3">
        <v>292882708.84662002</v>
      </c>
      <c r="L5" s="3">
        <v>1248776335.51882</v>
      </c>
      <c r="M5" s="3">
        <v>2308756955.5985999</v>
      </c>
      <c r="N5" s="3">
        <v>607037385.94030905</v>
      </c>
      <c r="O5" s="3">
        <v>1785484458.45786</v>
      </c>
      <c r="P5" s="3">
        <v>785297271.27958596</v>
      </c>
      <c r="Q5" s="3">
        <v>44234609199.284698</v>
      </c>
    </row>
    <row r="6" spans="1:17" x14ac:dyDescent="0.2">
      <c r="A6">
        <v>5</v>
      </c>
      <c r="B6" s="3">
        <v>2747628.8515828899</v>
      </c>
      <c r="C6" s="3">
        <v>20466134261.536098</v>
      </c>
      <c r="D6" s="3">
        <v>892867580.11971104</v>
      </c>
      <c r="E6" s="3">
        <v>839266737.99279499</v>
      </c>
      <c r="F6" s="3">
        <v>10839035353.411699</v>
      </c>
      <c r="G6" s="3">
        <v>1238236380.6538501</v>
      </c>
      <c r="H6" s="3">
        <v>1154659765.21594</v>
      </c>
      <c r="I6" s="3">
        <v>3427165351.26724</v>
      </c>
      <c r="J6" s="3">
        <v>1841722620.6008601</v>
      </c>
      <c r="K6" s="3">
        <v>309018805.18247998</v>
      </c>
      <c r="L6" s="3">
        <v>1344649789.3245201</v>
      </c>
      <c r="M6" s="3">
        <v>2854817394.7291899</v>
      </c>
      <c r="N6" s="3">
        <v>799621768.24454403</v>
      </c>
      <c r="O6" s="3">
        <v>1924382296.1743701</v>
      </c>
      <c r="P6" s="3">
        <v>899836654.53443599</v>
      </c>
      <c r="Q6" s="3">
        <v>48831414758.9879</v>
      </c>
    </row>
    <row r="7" spans="1:17" x14ac:dyDescent="0.2">
      <c r="A7">
        <v>6</v>
      </c>
      <c r="B7" s="3">
        <v>2748336.9317767601</v>
      </c>
      <c r="C7" s="3">
        <v>21288671532.338501</v>
      </c>
      <c r="D7" s="3">
        <v>952376828.95229197</v>
      </c>
      <c r="E7" s="3">
        <v>954257755.01019704</v>
      </c>
      <c r="F7" s="3">
        <v>12431566734.7589</v>
      </c>
      <c r="G7" s="3">
        <v>1416127970.1519301</v>
      </c>
      <c r="H7" s="3">
        <v>1364728389.6819501</v>
      </c>
      <c r="I7" s="3">
        <v>3896540174.16153</v>
      </c>
      <c r="J7" s="3">
        <v>2239749522.5671401</v>
      </c>
      <c r="K7" s="3">
        <v>358339276.30989099</v>
      </c>
      <c r="L7" s="3">
        <v>1598980743.74229</v>
      </c>
      <c r="M7" s="3">
        <v>3289534267.8063202</v>
      </c>
      <c r="N7" s="3">
        <v>1124120003.5225101</v>
      </c>
      <c r="O7" s="3">
        <v>2082554866.2391</v>
      </c>
      <c r="P7" s="3">
        <v>1019773114.65628</v>
      </c>
      <c r="Q7" s="3">
        <v>54017321179.898903</v>
      </c>
    </row>
    <row r="8" spans="1:17" x14ac:dyDescent="0.2">
      <c r="A8">
        <v>7</v>
      </c>
      <c r="B8" s="3">
        <v>2747846.3569293302</v>
      </c>
      <c r="C8" s="3">
        <v>22061555504.912998</v>
      </c>
      <c r="D8" s="3">
        <v>955642604.01410604</v>
      </c>
      <c r="E8" s="3">
        <v>1084593772.8963301</v>
      </c>
      <c r="F8" s="3">
        <v>14147127100.0219</v>
      </c>
      <c r="G8" s="3">
        <v>1576895228.88552</v>
      </c>
      <c r="H8" s="3">
        <v>1723416462.28618</v>
      </c>
      <c r="I8" s="3">
        <v>4459609552.2406502</v>
      </c>
      <c r="J8" s="3">
        <v>2704844016.0393701</v>
      </c>
      <c r="K8" s="3">
        <v>404942361.482301</v>
      </c>
      <c r="L8" s="3">
        <v>1802389365.0468299</v>
      </c>
      <c r="M8" s="3">
        <v>3991236985.9844298</v>
      </c>
      <c r="N8" s="3">
        <v>1518015823.19626</v>
      </c>
      <c r="O8" s="3">
        <v>2283985215.8801999</v>
      </c>
      <c r="P8" s="3">
        <v>1163339825.6192</v>
      </c>
      <c r="Q8" s="3">
        <v>59877593818.506302</v>
      </c>
    </row>
    <row r="9" spans="1:17" x14ac:dyDescent="0.2">
      <c r="A9">
        <v>8</v>
      </c>
      <c r="B9" s="3">
        <v>2747984.4327531499</v>
      </c>
      <c r="C9" s="3">
        <v>23144044156.0439</v>
      </c>
      <c r="D9" s="3">
        <v>987873604.83120298</v>
      </c>
      <c r="E9" s="3">
        <v>1304178565.0866201</v>
      </c>
      <c r="F9" s="3">
        <v>16484645032.1364</v>
      </c>
      <c r="G9" s="3">
        <v>1920950368.44997</v>
      </c>
      <c r="H9" s="3">
        <v>2283824261.0636702</v>
      </c>
      <c r="I9" s="3">
        <v>5304285285.1653099</v>
      </c>
      <c r="J9" s="3">
        <v>3291017537.119</v>
      </c>
      <c r="K9" s="3">
        <v>524495019.25161099</v>
      </c>
      <c r="L9" s="3">
        <v>2390241066.2751498</v>
      </c>
      <c r="M9" s="3">
        <v>4459481035.3073797</v>
      </c>
      <c r="N9" s="3">
        <v>2107405267.0736499</v>
      </c>
      <c r="O9" s="3">
        <v>2527592419.6882601</v>
      </c>
      <c r="P9" s="3">
        <v>1372906620.66185</v>
      </c>
      <c r="Q9" s="3">
        <v>68102940238.154099</v>
      </c>
    </row>
    <row r="10" spans="1:17" x14ac:dyDescent="0.2">
      <c r="A10">
        <v>9</v>
      </c>
      <c r="B10" s="3">
        <v>2748042.5822946099</v>
      </c>
      <c r="C10" s="3">
        <v>23895637572.135101</v>
      </c>
      <c r="D10" s="3">
        <v>904561552.32073104</v>
      </c>
      <c r="E10" s="3">
        <v>1651759197.7995801</v>
      </c>
      <c r="F10" s="3">
        <v>20405076993.781898</v>
      </c>
      <c r="G10" s="3">
        <v>2533328518.5107498</v>
      </c>
      <c r="H10" s="3">
        <v>2931918886.9404502</v>
      </c>
      <c r="I10" s="3">
        <v>6580995077.4231396</v>
      </c>
      <c r="J10" s="3">
        <v>4077347721.0027099</v>
      </c>
      <c r="K10" s="3">
        <v>708425955.34514701</v>
      </c>
      <c r="L10" s="3">
        <v>3054459709.5757599</v>
      </c>
      <c r="M10" s="3">
        <v>5242842451.9049301</v>
      </c>
      <c r="N10" s="3">
        <v>3159787854.8935199</v>
      </c>
      <c r="O10" s="3">
        <v>2883414936.42381</v>
      </c>
      <c r="P10" s="3">
        <v>1716196408.91571</v>
      </c>
      <c r="Q10" s="3">
        <v>79745752836.973297</v>
      </c>
    </row>
    <row r="11" spans="1:17" x14ac:dyDescent="0.2">
      <c r="A11">
        <v>10</v>
      </c>
      <c r="B11" s="3">
        <v>2748063.5193039002</v>
      </c>
      <c r="C11" s="3">
        <v>26275826963.716499</v>
      </c>
      <c r="D11" s="3">
        <v>907616032.75166202</v>
      </c>
      <c r="E11" s="3">
        <v>2882140572.39182</v>
      </c>
      <c r="F11" s="3">
        <v>32656467970.806801</v>
      </c>
      <c r="G11" s="3">
        <v>5886209261.9639597</v>
      </c>
      <c r="H11" s="3">
        <v>5379905142.2717104</v>
      </c>
      <c r="I11" s="3">
        <v>11671019419.1194</v>
      </c>
      <c r="J11" s="3">
        <v>5904474902.4546003</v>
      </c>
      <c r="K11" s="3">
        <v>1697326386.02214</v>
      </c>
      <c r="L11" s="3">
        <v>5230961336.7513905</v>
      </c>
      <c r="M11" s="3">
        <v>7236301059.3639202</v>
      </c>
      <c r="N11" s="3">
        <v>6057604311.0866299</v>
      </c>
      <c r="O11" s="3">
        <v>4011181538.6979299</v>
      </c>
      <c r="P11" s="3">
        <v>2806102747.0468998</v>
      </c>
      <c r="Q11" s="3">
        <v>118603137644.44501</v>
      </c>
    </row>
    <row r="12" spans="1:17" s="33" customFormat="1" x14ac:dyDescent="0.2">
      <c r="B12" s="34">
        <f>SUM(B2:B11)</f>
        <v>27479695.00677811</v>
      </c>
      <c r="C12" s="34">
        <f t="shared" ref="C12:Q12" si="0">SUM(C2:C11)</f>
        <v>208892532728.52148</v>
      </c>
      <c r="D12" s="34">
        <f t="shared" si="0"/>
        <v>8365761844.9240017</v>
      </c>
      <c r="E12" s="34">
        <f t="shared" si="0"/>
        <v>11402310159.456749</v>
      </c>
      <c r="F12" s="34">
        <f t="shared" si="0"/>
        <v>135574531960.90784</v>
      </c>
      <c r="G12" s="34">
        <f t="shared" si="0"/>
        <v>18271547723.777538</v>
      </c>
      <c r="H12" s="34">
        <f t="shared" si="0"/>
        <v>17471857626.443024</v>
      </c>
      <c r="I12" s="34">
        <f t="shared" si="0"/>
        <v>44901772670.504112</v>
      </c>
      <c r="J12" s="34">
        <f t="shared" si="0"/>
        <v>24165328058.004604</v>
      </c>
      <c r="K12" s="34">
        <f t="shared" si="0"/>
        <v>5056005526.9093742</v>
      </c>
      <c r="L12" s="34">
        <f t="shared" si="0"/>
        <v>19505798341.648476</v>
      </c>
      <c r="M12" s="34">
        <f t="shared" si="0"/>
        <v>33482985277.75045</v>
      </c>
      <c r="N12" s="34">
        <f t="shared" si="0"/>
        <v>16140975771.741011</v>
      </c>
      <c r="O12" s="34">
        <f t="shared" si="0"/>
        <v>21858092220.563309</v>
      </c>
      <c r="P12" s="34">
        <f t="shared" si="0"/>
        <v>11458071555.447399</v>
      </c>
      <c r="Q12" s="34">
        <f t="shared" si="0"/>
        <v>576547571466.59961</v>
      </c>
    </row>
    <row r="13" spans="1:17" x14ac:dyDescent="0.2">
      <c r="B13" s="3"/>
      <c r="C13" s="9">
        <f>C12/$Q12</f>
        <v>0.36231621303537653</v>
      </c>
      <c r="D13" s="9">
        <f t="shared" ref="D13:K13" si="1">D12/$Q12</f>
        <v>1.4510098140979932E-2</v>
      </c>
      <c r="E13" s="9">
        <f t="shared" si="1"/>
        <v>1.9776876573171558E-2</v>
      </c>
      <c r="F13" s="9">
        <f t="shared" si="1"/>
        <v>0.23514890820897666</v>
      </c>
      <c r="G13" s="9">
        <f t="shared" si="1"/>
        <v>3.1691309838144104E-2</v>
      </c>
      <c r="H13" s="9">
        <f t="shared" si="1"/>
        <v>3.0304277549897195E-2</v>
      </c>
      <c r="I13" s="9">
        <f t="shared" si="1"/>
        <v>7.7880429807872936E-2</v>
      </c>
      <c r="J13" s="9">
        <f t="shared" si="1"/>
        <v>4.191384935771001E-2</v>
      </c>
      <c r="K13" s="9">
        <f t="shared" si="1"/>
        <v>8.7694507394213816E-3</v>
      </c>
      <c r="L13" s="9">
        <f t="shared" ref="L13" si="2">L12/$Q12</f>
        <v>3.3832070946080602E-2</v>
      </c>
      <c r="M13" s="9">
        <f t="shared" ref="M13" si="3">M12/$Q12</f>
        <v>5.807497409550736E-2</v>
      </c>
      <c r="N13" s="9">
        <f t="shared" ref="N13" si="4">N12/$Q12</f>
        <v>2.7995913209177544E-2</v>
      </c>
      <c r="O13" s="9">
        <f t="shared" ref="O13" si="5">O12/$Q12</f>
        <v>3.7912035887969368E-2</v>
      </c>
      <c r="P13" s="9">
        <f t="shared" ref="P13:Q13" si="6">P12/$Q12</f>
        <v>1.9873592609714399E-2</v>
      </c>
      <c r="Q13" s="9">
        <f t="shared" si="6"/>
        <v>1</v>
      </c>
    </row>
    <row r="15" spans="1:17" x14ac:dyDescent="0.2">
      <c r="A15" t="s">
        <v>0</v>
      </c>
      <c r="B15" t="s">
        <v>1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92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</row>
    <row r="16" spans="1:17" x14ac:dyDescent="0.2">
      <c r="A16">
        <v>1</v>
      </c>
      <c r="B16" s="3">
        <v>2747642.50515944</v>
      </c>
      <c r="C16" s="2">
        <v>55.106065994548601</v>
      </c>
      <c r="D16" s="2">
        <v>1.8361600068658599</v>
      </c>
      <c r="E16" s="2">
        <v>1.9465446861514799</v>
      </c>
      <c r="F16" s="2">
        <v>16.719049189059</v>
      </c>
      <c r="G16" s="2">
        <v>2.5171623405711698</v>
      </c>
      <c r="H16" s="2">
        <v>1.4078802802066399</v>
      </c>
      <c r="I16" s="2">
        <v>5.6781059382117203</v>
      </c>
      <c r="J16" s="2">
        <v>1.9664258316502099</v>
      </c>
      <c r="K16" s="2">
        <v>0.808314176631169</v>
      </c>
      <c r="L16" s="2">
        <v>2.6830110729473802</v>
      </c>
      <c r="M16" s="2">
        <v>3.0121613617060299</v>
      </c>
      <c r="N16" s="2">
        <v>0.40746294203140498</v>
      </c>
      <c r="O16" s="2">
        <v>4.3944381104717198</v>
      </c>
      <c r="P16" s="2">
        <v>1.5172180689474699</v>
      </c>
    </row>
    <row r="17" spans="1:16" x14ac:dyDescent="0.2">
      <c r="A17">
        <v>2</v>
      </c>
      <c r="B17" s="3">
        <v>2748295.6540946802</v>
      </c>
      <c r="C17" s="2">
        <v>50.525308722415403</v>
      </c>
      <c r="D17" s="2">
        <v>1.9376916407537901</v>
      </c>
      <c r="E17" s="2">
        <v>1.8656189380597801</v>
      </c>
      <c r="F17" s="2">
        <v>18.5541094305432</v>
      </c>
      <c r="G17" s="2">
        <v>2.5136386122155399</v>
      </c>
      <c r="H17" s="2">
        <v>1.6782020787563501</v>
      </c>
      <c r="I17" s="2">
        <v>6.3013214900808299</v>
      </c>
      <c r="J17" s="2">
        <v>2.51340686056189</v>
      </c>
      <c r="K17" s="2">
        <v>0.74556732831553696</v>
      </c>
      <c r="L17" s="2">
        <v>2.8193282702614502</v>
      </c>
      <c r="M17" s="2">
        <v>3.9463056306708699</v>
      </c>
      <c r="N17" s="2">
        <v>0.74433406467636698</v>
      </c>
      <c r="O17" s="2">
        <v>4.2247724929744201</v>
      </c>
      <c r="P17" s="2">
        <v>1.6303944397144901</v>
      </c>
    </row>
    <row r="18" spans="1:16" x14ac:dyDescent="0.2">
      <c r="A18">
        <v>3</v>
      </c>
      <c r="B18" s="3">
        <v>2747874.69444041</v>
      </c>
      <c r="C18" s="2">
        <v>47.309600725826201</v>
      </c>
      <c r="D18" s="2">
        <v>1.85187139354415</v>
      </c>
      <c r="E18" s="2">
        <v>1.7828180186885301</v>
      </c>
      <c r="F18" s="2">
        <v>20.089058643189698</v>
      </c>
      <c r="G18" s="2">
        <v>2.4958388884233398</v>
      </c>
      <c r="H18" s="2">
        <v>1.80107221438744</v>
      </c>
      <c r="I18" s="2">
        <v>6.78182839152407</v>
      </c>
      <c r="J18" s="2">
        <v>2.9112534786550199</v>
      </c>
      <c r="K18" s="2">
        <v>0.67752251168243605</v>
      </c>
      <c r="L18" s="2">
        <v>2.7353063639127799</v>
      </c>
      <c r="M18" s="2">
        <v>4.7172729969339899</v>
      </c>
      <c r="N18" s="2">
        <v>0.993928717753919</v>
      </c>
      <c r="O18" s="2">
        <v>4.1045505722717301</v>
      </c>
      <c r="P18" s="2">
        <v>1.74807708320656</v>
      </c>
    </row>
    <row r="19" spans="1:16" x14ac:dyDescent="0.2">
      <c r="A19">
        <v>4</v>
      </c>
      <c r="B19" s="3">
        <v>2747979.4784429399</v>
      </c>
      <c r="C19" s="2">
        <v>44.259476295454398</v>
      </c>
      <c r="D19" s="2">
        <v>1.87492543229852</v>
      </c>
      <c r="E19" s="2">
        <v>1.7426689299076901</v>
      </c>
      <c r="F19" s="2">
        <v>21.268308560234399</v>
      </c>
      <c r="G19" s="2">
        <v>2.5167901910686701</v>
      </c>
      <c r="H19" s="2">
        <v>2.1093316737763002</v>
      </c>
      <c r="I19" s="2">
        <v>6.9097577645456303</v>
      </c>
      <c r="J19" s="2">
        <v>3.4301976731543</v>
      </c>
      <c r="K19" s="2">
        <v>0.66211212023402799</v>
      </c>
      <c r="L19" s="2">
        <v>2.8230753207129502</v>
      </c>
      <c r="M19" s="2">
        <v>5.2193452081768097</v>
      </c>
      <c r="N19" s="2">
        <v>1.37231321114537</v>
      </c>
      <c r="O19" s="2">
        <v>4.0363970447075497</v>
      </c>
      <c r="P19" s="2">
        <v>1.7753005745833099</v>
      </c>
    </row>
    <row r="20" spans="1:16" x14ac:dyDescent="0.2">
      <c r="A20">
        <v>5</v>
      </c>
      <c r="B20" s="3">
        <v>2747628.8515828899</v>
      </c>
      <c r="C20" s="2">
        <v>41.911819189652199</v>
      </c>
      <c r="D20" s="2">
        <v>1.8284696122906601</v>
      </c>
      <c r="E20" s="2">
        <v>1.7187024830942801</v>
      </c>
      <c r="F20" s="2">
        <v>22.196848907427398</v>
      </c>
      <c r="G20" s="2">
        <v>2.5357372641470399</v>
      </c>
      <c r="H20" s="2">
        <v>2.36458388706302</v>
      </c>
      <c r="I20" s="2">
        <v>7.0183617824352202</v>
      </c>
      <c r="J20" s="2">
        <v>3.7715938186326499</v>
      </c>
      <c r="K20" s="2">
        <v>0.63282787670124097</v>
      </c>
      <c r="L20" s="2">
        <v>2.7536572429063702</v>
      </c>
      <c r="M20" s="2">
        <v>5.8462721361226304</v>
      </c>
      <c r="N20" s="2">
        <v>1.6375150549930799</v>
      </c>
      <c r="O20" s="2">
        <v>3.9408694293875102</v>
      </c>
      <c r="P20" s="2">
        <v>1.8427413151465399</v>
      </c>
    </row>
    <row r="21" spans="1:16" x14ac:dyDescent="0.2">
      <c r="A21">
        <v>6</v>
      </c>
      <c r="B21" s="3">
        <v>2748336.9317767601</v>
      </c>
      <c r="C21" s="2">
        <v>39.410824282527599</v>
      </c>
      <c r="D21" s="2">
        <v>1.76309525935301</v>
      </c>
      <c r="E21" s="2">
        <v>1.76657733883571</v>
      </c>
      <c r="F21" s="2">
        <v>23.014037836783601</v>
      </c>
      <c r="G21" s="2">
        <v>2.6216182869114601</v>
      </c>
      <c r="H21" s="2">
        <v>2.5264644004408701</v>
      </c>
      <c r="I21" s="2">
        <v>7.2135013159658898</v>
      </c>
      <c r="J21" s="2">
        <v>4.1463543057011103</v>
      </c>
      <c r="K21" s="2">
        <v>0.66337846543052503</v>
      </c>
      <c r="L21" s="2">
        <v>2.9601259537048401</v>
      </c>
      <c r="M21" s="2">
        <v>6.0897767529990601</v>
      </c>
      <c r="N21" s="2">
        <v>2.0810361916666502</v>
      </c>
      <c r="O21" s="2">
        <v>3.8553464347174402</v>
      </c>
      <c r="P21" s="2">
        <v>1.88786317496204</v>
      </c>
    </row>
    <row r="22" spans="1:16" x14ac:dyDescent="0.2">
      <c r="A22">
        <v>7</v>
      </c>
      <c r="B22" s="3">
        <v>2747846.3569293302</v>
      </c>
      <c r="C22" s="2">
        <v>36.844425598969899</v>
      </c>
      <c r="D22" s="2">
        <v>1.59599366486023</v>
      </c>
      <c r="E22" s="2">
        <v>1.8113516321043599</v>
      </c>
      <c r="F22" s="2">
        <v>23.626746163018701</v>
      </c>
      <c r="G22" s="2">
        <v>2.6335313901644302</v>
      </c>
      <c r="H22" s="2">
        <v>2.8782326616363201</v>
      </c>
      <c r="I22" s="2">
        <v>7.4478770235124596</v>
      </c>
      <c r="J22" s="2">
        <v>4.5172890952130897</v>
      </c>
      <c r="K22" s="2">
        <v>0.67628362407098896</v>
      </c>
      <c r="L22" s="2">
        <v>3.0101232365983299</v>
      </c>
      <c r="M22" s="2">
        <v>6.6656602770014102</v>
      </c>
      <c r="N22" s="2">
        <v>2.5351984379958301</v>
      </c>
      <c r="O22" s="2">
        <v>3.8144238440895601</v>
      </c>
      <c r="P22" s="2">
        <v>1.9428633507641799</v>
      </c>
    </row>
    <row r="23" spans="1:16" x14ac:dyDescent="0.2">
      <c r="A23">
        <v>8</v>
      </c>
      <c r="B23" s="3">
        <v>2747984.4327531499</v>
      </c>
      <c r="C23" s="2">
        <v>33.9839132864305</v>
      </c>
      <c r="D23" s="2">
        <v>1.4505594051837301</v>
      </c>
      <c r="E23" s="2">
        <v>1.9150106596366401</v>
      </c>
      <c r="F23" s="2">
        <v>24.205482134090101</v>
      </c>
      <c r="G23" s="2">
        <v>2.82065702557402</v>
      </c>
      <c r="H23" s="2">
        <v>3.35348848827554</v>
      </c>
      <c r="I23" s="2">
        <v>7.7886289000392104</v>
      </c>
      <c r="J23" s="2">
        <v>4.8324162299166504</v>
      </c>
      <c r="K23" s="2">
        <v>0.77015033039317604</v>
      </c>
      <c r="L23" s="2">
        <v>3.5097472413328101</v>
      </c>
      <c r="M23" s="2">
        <v>6.54814758322137</v>
      </c>
      <c r="N23" s="2">
        <v>3.0944409444057901</v>
      </c>
      <c r="O23" s="2">
        <v>3.7114292141416199</v>
      </c>
      <c r="P23" s="2">
        <v>2.01592855735867</v>
      </c>
    </row>
    <row r="24" spans="1:16" x14ac:dyDescent="0.2">
      <c r="A24">
        <v>9</v>
      </c>
      <c r="B24" s="3">
        <v>2748042.5822946099</v>
      </c>
      <c r="C24" s="2">
        <v>29.964777711718</v>
      </c>
      <c r="D24" s="2">
        <v>1.1343068691945899</v>
      </c>
      <c r="E24" s="2">
        <v>2.07128171600101</v>
      </c>
      <c r="F24" s="2">
        <v>25.587666136272599</v>
      </c>
      <c r="G24" s="2">
        <v>3.1767566652605401</v>
      </c>
      <c r="H24" s="2">
        <v>3.6765831190211</v>
      </c>
      <c r="I24" s="2">
        <v>8.2524709383292993</v>
      </c>
      <c r="J24" s="2">
        <v>5.1129340133488501</v>
      </c>
      <c r="K24" s="2">
        <v>0.88835571819530501</v>
      </c>
      <c r="L24" s="2">
        <v>3.83024750649742</v>
      </c>
      <c r="M24" s="2">
        <v>6.5744472468935502</v>
      </c>
      <c r="N24" s="2">
        <v>3.9623274500313101</v>
      </c>
      <c r="O24" s="2">
        <v>3.6157598791730798</v>
      </c>
      <c r="P24" s="2">
        <v>2.1520850300632102</v>
      </c>
    </row>
    <row r="25" spans="1:16" x14ac:dyDescent="0.2">
      <c r="A25">
        <v>10</v>
      </c>
      <c r="B25" s="3">
        <v>2748063.5193039002</v>
      </c>
      <c r="C25" s="2">
        <v>22.154411329730099</v>
      </c>
      <c r="D25" s="2">
        <v>0.76525465580224294</v>
      </c>
      <c r="E25" s="2">
        <v>2.4300711006753</v>
      </c>
      <c r="F25" s="2">
        <v>27.534236125106599</v>
      </c>
      <c r="G25" s="2">
        <v>4.9629456512440102</v>
      </c>
      <c r="H25" s="2">
        <v>4.5360563380708099</v>
      </c>
      <c r="I25" s="2">
        <v>9.8403968486124</v>
      </c>
      <c r="J25" s="2">
        <v>4.9783462897544402</v>
      </c>
      <c r="K25" s="2">
        <v>1.43109737206992</v>
      </c>
      <c r="L25" s="2">
        <v>4.41047466419736</v>
      </c>
      <c r="M25" s="2">
        <v>6.1012728694052498</v>
      </c>
      <c r="N25" s="2">
        <v>5.1074570465803504</v>
      </c>
      <c r="O25" s="2">
        <v>3.3820197495304498</v>
      </c>
      <c r="P25" s="2">
        <v>2.36595995922062</v>
      </c>
    </row>
    <row r="29" spans="1:16" x14ac:dyDescent="0.2">
      <c r="C29" s="3">
        <v>6422353369.1115599</v>
      </c>
      <c r="D29" s="9">
        <f>C29/C37</f>
        <v>1.0868335205894314E-2</v>
      </c>
      <c r="E29" t="s">
        <v>120</v>
      </c>
    </row>
    <row r="30" spans="1:16" x14ac:dyDescent="0.2">
      <c r="C30" s="3">
        <v>3284305547.7442899</v>
      </c>
      <c r="D30" s="9">
        <f>C30/C37</f>
        <v>5.5579211482100609E-3</v>
      </c>
      <c r="E30" t="s">
        <v>121</v>
      </c>
    </row>
    <row r="31" spans="1:16" x14ac:dyDescent="0.2">
      <c r="C31" s="3">
        <v>69828807052.721497</v>
      </c>
      <c r="D31" s="9">
        <f>C31/C37</f>
        <v>0.11816896991790414</v>
      </c>
      <c r="E31" t="s">
        <v>114</v>
      </c>
    </row>
    <row r="32" spans="1:16" x14ac:dyDescent="0.2">
      <c r="C32" s="3">
        <v>236669406.27173901</v>
      </c>
      <c r="D32" s="9">
        <f>C32/C37</f>
        <v>4.0050777223070688E-4</v>
      </c>
      <c r="E32" t="s">
        <v>115</v>
      </c>
    </row>
    <row r="33" spans="3:5" x14ac:dyDescent="0.2">
      <c r="C33" s="3">
        <v>242789112.88838199</v>
      </c>
      <c r="D33" s="9">
        <f>C33/C37</f>
        <v>4.1086394839368344E-4</v>
      </c>
      <c r="E33" t="s">
        <v>116</v>
      </c>
    </row>
    <row r="34" spans="3:5" x14ac:dyDescent="0.2">
      <c r="C34" s="3">
        <v>110369249.726906</v>
      </c>
      <c r="D34" s="9">
        <f>C34/C37</f>
        <v>1.8677421398583237E-4</v>
      </c>
      <c r="E34" t="s">
        <v>117</v>
      </c>
    </row>
    <row r="35" spans="3:5" x14ac:dyDescent="0.2">
      <c r="C35" s="3">
        <v>175958216.04686701</v>
      </c>
      <c r="D35" s="9">
        <f>C35/C37</f>
        <v>2.9776824231225258E-4</v>
      </c>
      <c r="E35" t="s">
        <v>118</v>
      </c>
    </row>
    <row r="36" spans="3:5" x14ac:dyDescent="0.2">
      <c r="C36" s="3">
        <v>27999173.712184701</v>
      </c>
      <c r="D36" s="9">
        <f>C36/C37</f>
        <v>4.7382071322273521E-5</v>
      </c>
      <c r="E36" t="s">
        <v>119</v>
      </c>
    </row>
    <row r="37" spans="3:5" x14ac:dyDescent="0.2">
      <c r="C37" s="3">
        <v>590923379472.91797</v>
      </c>
      <c r="D37" s="37">
        <f>SUM(D29:D36)</f>
        <v>0.13593852252025326</v>
      </c>
    </row>
    <row r="38" spans="3:5" x14ac:dyDescent="0.2">
      <c r="C38" s="3">
        <v>576547571466.59961</v>
      </c>
    </row>
  </sheetData>
  <conditionalFormatting sqref="C16:P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P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D759-C211-6A47-BA8F-FA7924675BCB}">
  <dimension ref="A1:K15"/>
  <sheetViews>
    <sheetView zoomScale="130" zoomScaleNormal="130" workbookViewId="0">
      <selection activeCell="M14" sqref="M14"/>
    </sheetView>
  </sheetViews>
  <sheetFormatPr baseColWidth="10" defaultRowHeight="16" x14ac:dyDescent="0.2"/>
  <cols>
    <col min="1" max="1" width="11.5" customWidth="1"/>
    <col min="2" max="2" width="13" style="3" bestFit="1" customWidth="1"/>
    <col min="3" max="4" width="17.6640625" style="3" bestFit="1" customWidth="1"/>
    <col min="5" max="5" width="18.6640625" style="3" bestFit="1" customWidth="1"/>
    <col min="6" max="7" width="16.6640625" style="3" bestFit="1" customWidth="1"/>
    <col min="8" max="9" width="11.83203125" style="3" customWidth="1"/>
    <col min="10" max="10" width="12.33203125" style="3" customWidth="1"/>
    <col min="11" max="11" width="13.6640625" style="3" customWidth="1"/>
  </cols>
  <sheetData>
    <row r="1" spans="1:11" s="4" customFormat="1" ht="51" x14ac:dyDescent="0.2">
      <c r="A1" s="4" t="s">
        <v>0</v>
      </c>
      <c r="B1" s="5" t="s">
        <v>1</v>
      </c>
      <c r="C1" s="5" t="s">
        <v>19</v>
      </c>
      <c r="D1" s="5" t="s">
        <v>20</v>
      </c>
      <c r="E1" s="5" t="s">
        <v>6</v>
      </c>
      <c r="F1" s="5" t="s">
        <v>21</v>
      </c>
      <c r="G1" s="5" t="s">
        <v>22</v>
      </c>
      <c r="H1" s="5" t="s">
        <v>27</v>
      </c>
      <c r="I1" s="5" t="s">
        <v>28</v>
      </c>
      <c r="J1" s="25" t="s">
        <v>42</v>
      </c>
      <c r="K1" s="5" t="s">
        <v>43</v>
      </c>
    </row>
    <row r="2" spans="1:11" x14ac:dyDescent="0.2">
      <c r="A2">
        <v>1</v>
      </c>
      <c r="B2" s="3">
        <v>2747642.50515944</v>
      </c>
      <c r="C2" s="3">
        <v>12730887016.797501</v>
      </c>
      <c r="D2" s="3">
        <v>16287403643.337299</v>
      </c>
      <c r="E2" s="3">
        <v>29018290660.1348</v>
      </c>
      <c r="F2" s="3">
        <v>1527706442.0157001</v>
      </c>
      <c r="G2" s="3">
        <v>1954488437.20047</v>
      </c>
      <c r="H2" s="1">
        <v>5.2096450668530103</v>
      </c>
      <c r="I2" s="1">
        <v>6.7903549331469799</v>
      </c>
      <c r="J2" s="22">
        <v>5.2646327790577203</v>
      </c>
      <c r="K2" s="1">
        <v>6.7353672209422699</v>
      </c>
    </row>
    <row r="3" spans="1:11" x14ac:dyDescent="0.2">
      <c r="A3">
        <v>2</v>
      </c>
      <c r="B3" s="3">
        <v>2748295.6540946802</v>
      </c>
      <c r="C3" s="3">
        <v>16171881744.9347</v>
      </c>
      <c r="D3" s="3">
        <v>18893257154.780602</v>
      </c>
      <c r="E3" s="3">
        <v>35065138899.715302</v>
      </c>
      <c r="F3" s="3">
        <v>1940625809.3921599</v>
      </c>
      <c r="G3" s="3">
        <v>2267190858.5736699</v>
      </c>
      <c r="H3" s="1">
        <v>5.45557234683627</v>
      </c>
      <c r="I3" s="1">
        <v>6.5444276531637202</v>
      </c>
      <c r="J3" s="22">
        <v>5.5343451367532399</v>
      </c>
      <c r="K3" s="1">
        <v>6.4656548632467503</v>
      </c>
    </row>
    <row r="4" spans="1:11" x14ac:dyDescent="0.2">
      <c r="A4">
        <v>3</v>
      </c>
      <c r="B4" s="3">
        <v>2747874.69444041</v>
      </c>
      <c r="C4" s="3">
        <v>18492395560.589802</v>
      </c>
      <c r="D4" s="3">
        <v>20558976669.909401</v>
      </c>
      <c r="E4" s="3">
        <v>39051372230.499298</v>
      </c>
      <c r="F4" s="3">
        <v>2219087467.2707801</v>
      </c>
      <c r="G4" s="3">
        <v>2467077200.3891301</v>
      </c>
      <c r="H4" s="1">
        <v>5.5568015023697797</v>
      </c>
      <c r="I4" s="1">
        <v>6.4431984976302097</v>
      </c>
      <c r="J4" s="22">
        <v>5.6824826901669301</v>
      </c>
      <c r="K4" s="1">
        <v>6.3175173098330504</v>
      </c>
    </row>
    <row r="5" spans="1:11" x14ac:dyDescent="0.2">
      <c r="A5">
        <v>4</v>
      </c>
      <c r="B5" s="3">
        <v>2747979.4784429399</v>
      </c>
      <c r="C5" s="3">
        <v>21174220742.446899</v>
      </c>
      <c r="D5" s="3">
        <v>23060388456.8377</v>
      </c>
      <c r="E5" s="3">
        <v>44234609199.284698</v>
      </c>
      <c r="F5" s="3">
        <v>2540906489.0936298</v>
      </c>
      <c r="G5" s="3">
        <v>2767246614.8205199</v>
      </c>
      <c r="H5" s="1">
        <v>5.6050850955508604</v>
      </c>
      <c r="I5" s="1">
        <v>6.3949149044491298</v>
      </c>
      <c r="J5" s="22">
        <v>5.7441594604044202</v>
      </c>
      <c r="K5" s="1">
        <v>6.2558405395955798</v>
      </c>
    </row>
    <row r="6" spans="1:11" x14ac:dyDescent="0.2">
      <c r="A6">
        <v>5</v>
      </c>
      <c r="B6" s="3">
        <v>2747628.8515828899</v>
      </c>
      <c r="C6" s="3">
        <v>23802239836.017101</v>
      </c>
      <c r="D6" s="3">
        <v>25029174922.970699</v>
      </c>
      <c r="E6" s="3">
        <v>48831414758.9879</v>
      </c>
      <c r="F6" s="3">
        <v>2856268780.3220501</v>
      </c>
      <c r="G6" s="3">
        <v>3003500990.7564902</v>
      </c>
      <c r="H6" s="1">
        <v>5.6657757606204502</v>
      </c>
      <c r="I6" s="1">
        <v>6.3342242393795303</v>
      </c>
      <c r="J6" s="22">
        <v>5.8492443735645203</v>
      </c>
      <c r="K6" s="1">
        <v>6.1507556264354699</v>
      </c>
    </row>
    <row r="7" spans="1:11" x14ac:dyDescent="0.2">
      <c r="A7">
        <v>6</v>
      </c>
      <c r="B7" s="3">
        <v>2748336.9317767601</v>
      </c>
      <c r="C7" s="3">
        <v>26514380477.310398</v>
      </c>
      <c r="D7" s="3">
        <v>27502940702.588501</v>
      </c>
      <c r="E7" s="3">
        <v>54017321179.898903</v>
      </c>
      <c r="F7" s="3">
        <v>3181725657.2772498</v>
      </c>
      <c r="G7" s="3">
        <v>3300352884.3106198</v>
      </c>
      <c r="H7" s="1">
        <v>5.7076454835129597</v>
      </c>
      <c r="I7" s="1">
        <v>6.2923545164870198</v>
      </c>
      <c r="J7" s="22">
        <v>5.8901951962424297</v>
      </c>
      <c r="K7" s="1">
        <v>6.1098048037575703</v>
      </c>
    </row>
    <row r="8" spans="1:11" x14ac:dyDescent="0.2">
      <c r="A8">
        <v>7</v>
      </c>
      <c r="B8" s="3">
        <v>2747846.3569293302</v>
      </c>
      <c r="C8" s="3">
        <v>29742875498.603001</v>
      </c>
      <c r="D8" s="3">
        <v>30134718319.903301</v>
      </c>
      <c r="E8" s="3">
        <v>59877593818.506302</v>
      </c>
      <c r="F8" s="3">
        <v>3569145059.8323498</v>
      </c>
      <c r="G8" s="3">
        <v>3616166198.3884001</v>
      </c>
      <c r="H8" s="1">
        <v>5.7836230768009598</v>
      </c>
      <c r="I8" s="1">
        <v>6.2163769231990296</v>
      </c>
      <c r="J8" s="22">
        <v>5.9607356144782804</v>
      </c>
      <c r="K8" s="1">
        <v>6.0392643855217099</v>
      </c>
    </row>
    <row r="9" spans="1:11" x14ac:dyDescent="0.2">
      <c r="A9">
        <v>8</v>
      </c>
      <c r="B9" s="3">
        <v>2747984.4327531499</v>
      </c>
      <c r="C9" s="3">
        <v>33989743428.753101</v>
      </c>
      <c r="D9" s="3">
        <v>34113196809.400902</v>
      </c>
      <c r="E9" s="3">
        <v>68102940238.154099</v>
      </c>
      <c r="F9" s="3">
        <v>4078769211.4503798</v>
      </c>
      <c r="G9" s="3">
        <v>4093583617.1281099</v>
      </c>
      <c r="H9" s="1">
        <v>5.8240673550235202</v>
      </c>
      <c r="I9" s="1">
        <v>6.17593264497647</v>
      </c>
      <c r="J9" s="22">
        <v>5.9891235197585297</v>
      </c>
      <c r="K9" s="1">
        <v>6.0108764802414703</v>
      </c>
    </row>
    <row r="10" spans="1:11" x14ac:dyDescent="0.2">
      <c r="A10">
        <v>9</v>
      </c>
      <c r="B10" s="3">
        <v>2748042.5822946099</v>
      </c>
      <c r="C10" s="3">
        <v>40088129768.291</v>
      </c>
      <c r="D10" s="3">
        <v>39657623068.682297</v>
      </c>
      <c r="E10" s="3">
        <v>79745752836.973297</v>
      </c>
      <c r="F10" s="3">
        <v>4810575572.1949196</v>
      </c>
      <c r="G10" s="3">
        <v>4758914768.2418804</v>
      </c>
      <c r="H10" s="1">
        <v>5.8886923759085601</v>
      </c>
      <c r="I10" s="1">
        <v>6.1113076240914399</v>
      </c>
      <c r="J10" s="22">
        <v>6.0323909437902303</v>
      </c>
      <c r="K10" s="1">
        <v>5.9676090562097599</v>
      </c>
    </row>
    <row r="11" spans="1:11" x14ac:dyDescent="0.2">
      <c r="A11">
        <v>10</v>
      </c>
      <c r="B11" s="3">
        <v>2748063.5193039002</v>
      </c>
      <c r="C11" s="3">
        <v>59564986259.146202</v>
      </c>
      <c r="D11" s="3">
        <v>59038151385.299301</v>
      </c>
      <c r="E11" s="3">
        <v>118603137644.44501</v>
      </c>
      <c r="F11" s="3">
        <v>7147798351.0975399</v>
      </c>
      <c r="G11" s="3">
        <v>7084578166.2359104</v>
      </c>
      <c r="H11" s="1">
        <v>5.9839345361788396</v>
      </c>
      <c r="I11" s="1">
        <v>6.0160654638211497</v>
      </c>
      <c r="J11" s="22">
        <v>6.0266519866663</v>
      </c>
      <c r="K11" s="1">
        <v>5.9733480133336903</v>
      </c>
    </row>
    <row r="14" spans="1:11" x14ac:dyDescent="0.2">
      <c r="J14" s="3" t="s">
        <v>98</v>
      </c>
    </row>
    <row r="15" spans="1:11" x14ac:dyDescent="0.2">
      <c r="J15" s="3" t="s">
        <v>99</v>
      </c>
    </row>
  </sheetData>
  <conditionalFormatting sqref="J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0206-C385-FB4D-AE0F-9F5493A369BC}">
  <dimension ref="A1:W26"/>
  <sheetViews>
    <sheetView topLeftCell="A7" zoomScale="130" zoomScaleNormal="130" workbookViewId="0">
      <selection activeCell="G12" sqref="G12"/>
    </sheetView>
  </sheetViews>
  <sheetFormatPr baseColWidth="10" defaultRowHeight="16" x14ac:dyDescent="0.2"/>
  <cols>
    <col min="1" max="1" width="7.6640625" customWidth="1"/>
    <col min="2" max="2" width="11.5" bestFit="1" customWidth="1"/>
    <col min="3" max="4" width="16" bestFit="1" customWidth="1"/>
    <col min="5" max="5" width="17.83203125" customWidth="1"/>
    <col min="6" max="6" width="16" bestFit="1" customWidth="1"/>
    <col min="7" max="7" width="17.5" bestFit="1" customWidth="1"/>
    <col min="8" max="8" width="16.6640625" bestFit="1" customWidth="1"/>
    <col min="9" max="9" width="14" bestFit="1" customWidth="1"/>
    <col min="10" max="10" width="15.5" bestFit="1" customWidth="1"/>
    <col min="11" max="11" width="15" bestFit="1" customWidth="1"/>
    <col min="12" max="13" width="16.33203125" bestFit="1" customWidth="1"/>
    <col min="14" max="21" width="11" bestFit="1" customWidth="1"/>
  </cols>
  <sheetData>
    <row r="1" spans="1:23" s="4" customFormat="1" ht="68" x14ac:dyDescent="0.2">
      <c r="A1" s="4" t="s">
        <v>0</v>
      </c>
      <c r="B1" s="4" t="s">
        <v>1</v>
      </c>
      <c r="C1" s="4" t="s">
        <v>19</v>
      </c>
      <c r="D1" s="4" t="s">
        <v>20</v>
      </c>
      <c r="E1" s="4" t="s">
        <v>6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57</v>
      </c>
      <c r="T1" s="4" t="s">
        <v>58</v>
      </c>
      <c r="U1" s="4" t="s">
        <v>59</v>
      </c>
      <c r="V1" s="26" t="s">
        <v>101</v>
      </c>
    </row>
    <row r="2" spans="1:23" x14ac:dyDescent="0.2">
      <c r="A2">
        <v>1</v>
      </c>
      <c r="B2" s="3">
        <v>2747642.50515944</v>
      </c>
      <c r="C2" s="3">
        <v>12730887016.797501</v>
      </c>
      <c r="D2" s="3">
        <v>16287403643.337299</v>
      </c>
      <c r="E2" s="3">
        <v>29018290660.1348</v>
      </c>
      <c r="F2" s="3">
        <v>11749966829.580099</v>
      </c>
      <c r="G2" s="3">
        <v>2812553619.8122001</v>
      </c>
      <c r="H2" s="3">
        <v>682368.05463735096</v>
      </c>
      <c r="I2" s="3">
        <v>146439152.57548499</v>
      </c>
      <c r="J2" s="3">
        <v>740245419.25953496</v>
      </c>
      <c r="K2" s="3">
        <v>18722509.991712101</v>
      </c>
      <c r="L2" s="3">
        <v>706737356.34813797</v>
      </c>
      <c r="M2" s="3">
        <v>112056387.715506</v>
      </c>
      <c r="N2" s="2">
        <v>40.4915884508736</v>
      </c>
      <c r="O2" s="2">
        <v>9.6923476739312999</v>
      </c>
      <c r="P2" s="2">
        <v>2.35151016518965E-3</v>
      </c>
      <c r="Q2" s="2">
        <v>0.50464430965488405</v>
      </c>
      <c r="R2" s="2">
        <v>2.5509614881502198</v>
      </c>
      <c r="S2" s="2">
        <v>6.4519685914625494E-2</v>
      </c>
      <c r="T2" s="2">
        <v>2.4354892733879998</v>
      </c>
      <c r="U2" s="2">
        <v>0.386157782441157</v>
      </c>
      <c r="V2" s="10">
        <f>SUM(N2:U2)</f>
        <v>56.128060174518986</v>
      </c>
      <c r="W2" t="s">
        <v>62</v>
      </c>
    </row>
    <row r="3" spans="1:23" x14ac:dyDescent="0.2">
      <c r="A3">
        <v>2</v>
      </c>
      <c r="B3" s="3">
        <v>2748295.6540946802</v>
      </c>
      <c r="C3" s="3">
        <v>16171881744.9347</v>
      </c>
      <c r="D3" s="3">
        <v>18893257154.780602</v>
      </c>
      <c r="E3" s="3">
        <v>35065138899.715302</v>
      </c>
      <c r="F3" s="3">
        <v>12573505641.1355</v>
      </c>
      <c r="G3" s="3">
        <v>3912457149.9829502</v>
      </c>
      <c r="H3" s="3">
        <v>3514494.1785079702</v>
      </c>
      <c r="I3" s="3">
        <v>245559719.78979</v>
      </c>
      <c r="J3" s="3">
        <v>973711952.95135903</v>
      </c>
      <c r="K3" s="3">
        <v>21590797.297966398</v>
      </c>
      <c r="L3" s="3">
        <v>911750214.78615296</v>
      </c>
      <c r="M3" s="3">
        <v>251167184.65831101</v>
      </c>
      <c r="N3" s="2">
        <v>35.857566904540697</v>
      </c>
      <c r="O3" s="2">
        <v>11.1576833081209</v>
      </c>
      <c r="P3" s="2">
        <v>1.0022758468344399E-2</v>
      </c>
      <c r="Q3" s="2">
        <v>0.70029587075664901</v>
      </c>
      <c r="R3" s="2">
        <v>2.7768660940888501</v>
      </c>
      <c r="S3" s="2">
        <v>6.1573397326943599E-2</v>
      </c>
      <c r="T3" s="2">
        <v>2.60016142355436</v>
      </c>
      <c r="U3" s="2">
        <v>0.71628743686610497</v>
      </c>
    </row>
    <row r="4" spans="1:23" x14ac:dyDescent="0.2">
      <c r="A4">
        <v>3</v>
      </c>
      <c r="B4" s="3">
        <v>2747874.69444041</v>
      </c>
      <c r="C4" s="3">
        <v>18492395560.589802</v>
      </c>
      <c r="D4" s="3">
        <v>20558976669.909401</v>
      </c>
      <c r="E4" s="3">
        <v>39051372230.499298</v>
      </c>
      <c r="F4" s="3">
        <v>12873701452.5397</v>
      </c>
      <c r="G4" s="3">
        <v>4816495633.1432896</v>
      </c>
      <c r="H4" s="3">
        <v>6545345.8693788797</v>
      </c>
      <c r="I4" s="3">
        <v>297040768.76151502</v>
      </c>
      <c r="J4" s="3">
        <v>1176231165.2918501</v>
      </c>
      <c r="K4" s="3">
        <v>23549384.297754198</v>
      </c>
      <c r="L4" s="3">
        <v>990002976.11519504</v>
      </c>
      <c r="M4" s="3">
        <v>375409943.89073801</v>
      </c>
      <c r="N4" s="2">
        <v>32.966066791592297</v>
      </c>
      <c r="O4" s="2">
        <v>12.333742345119299</v>
      </c>
      <c r="P4" s="2">
        <v>1.6760860106900199E-2</v>
      </c>
      <c r="Q4" s="2">
        <v>0.76064105253009495</v>
      </c>
      <c r="R4" s="2">
        <v>3.0120098170921898</v>
      </c>
      <c r="S4" s="2">
        <v>6.03036025437335E-2</v>
      </c>
      <c r="T4" s="2">
        <v>2.5351298035616701</v>
      </c>
      <c r="U4" s="2">
        <v>0.96132330939587596</v>
      </c>
    </row>
    <row r="5" spans="1:23" x14ac:dyDescent="0.2">
      <c r="A5">
        <v>4</v>
      </c>
      <c r="B5" s="3">
        <v>2747979.4784429399</v>
      </c>
      <c r="C5" s="3">
        <v>21174220742.446899</v>
      </c>
      <c r="D5" s="3">
        <v>23060388456.8377</v>
      </c>
      <c r="E5" s="3">
        <v>44234609199.284698</v>
      </c>
      <c r="F5" s="3">
        <v>13497522993.0415</v>
      </c>
      <c r="G5" s="3">
        <v>5883270171.1771803</v>
      </c>
      <c r="H5" s="3">
        <v>20404872.510134902</v>
      </c>
      <c r="I5" s="3">
        <v>446415780.096394</v>
      </c>
      <c r="J5" s="3">
        <v>1431421145.7681899</v>
      </c>
      <c r="K5" s="3">
        <v>28546724.8645088</v>
      </c>
      <c r="L5" s="3">
        <v>1167293454.20645</v>
      </c>
      <c r="M5" s="3">
        <v>585513315.17335296</v>
      </c>
      <c r="N5" s="2">
        <v>30.513489860920401</v>
      </c>
      <c r="O5" s="2">
        <v>13.300151798950001</v>
      </c>
      <c r="P5" s="2">
        <v>4.61287504953585E-2</v>
      </c>
      <c r="Q5" s="2">
        <v>1.0092002352393601</v>
      </c>
      <c r="R5" s="2">
        <v>3.2359755668223298</v>
      </c>
      <c r="S5" s="2">
        <v>6.4534818734129196E-2</v>
      </c>
      <c r="T5" s="2">
        <v>2.6388691464359701</v>
      </c>
      <c r="U5" s="2">
        <v>1.3236543190322101</v>
      </c>
    </row>
    <row r="6" spans="1:23" x14ac:dyDescent="0.2">
      <c r="A6">
        <v>5</v>
      </c>
      <c r="B6" s="3">
        <v>2747628.8515828899</v>
      </c>
      <c r="C6" s="3">
        <v>23802239836.017101</v>
      </c>
      <c r="D6" s="3">
        <v>25029174922.970699</v>
      </c>
      <c r="E6" s="3">
        <v>48831414758.9879</v>
      </c>
      <c r="F6" s="3">
        <v>13949885494.784401</v>
      </c>
      <c r="G6" s="3">
        <v>6807475547.4025803</v>
      </c>
      <c r="H6" s="3">
        <v>29284980.175714001</v>
      </c>
      <c r="I6" s="3">
        <v>586394502.75655198</v>
      </c>
      <c r="J6" s="3">
        <v>1591829923.7634201</v>
      </c>
      <c r="K6" s="3">
        <v>35019412.1843872</v>
      </c>
      <c r="L6" s="3">
        <v>1258789933.1478701</v>
      </c>
      <c r="M6" s="3">
        <v>770495128.75581396</v>
      </c>
      <c r="N6" s="2">
        <v>28.5674407830193</v>
      </c>
      <c r="O6" s="2">
        <v>13.9407706719158</v>
      </c>
      <c r="P6" s="2">
        <v>5.9971598857523997E-2</v>
      </c>
      <c r="Q6" s="2">
        <v>1.20085503492118</v>
      </c>
      <c r="R6" s="2">
        <v>3.2598480540038701</v>
      </c>
      <c r="S6" s="2">
        <v>7.1714924413369602E-2</v>
      </c>
      <c r="T6" s="2">
        <v>2.57782810381544</v>
      </c>
      <c r="U6" s="2">
        <v>1.5778677160157299</v>
      </c>
    </row>
    <row r="7" spans="1:23" x14ac:dyDescent="0.2">
      <c r="A7">
        <v>6</v>
      </c>
      <c r="B7" s="3">
        <v>2748336.9317767601</v>
      </c>
      <c r="C7" s="3">
        <v>26514380477.310398</v>
      </c>
      <c r="D7" s="3">
        <v>27502940702.588501</v>
      </c>
      <c r="E7" s="3">
        <v>54017321179.898903</v>
      </c>
      <c r="F7" s="3">
        <v>14397728035.304501</v>
      </c>
      <c r="G7" s="3">
        <v>7927409860.6934099</v>
      </c>
      <c r="H7" s="3">
        <v>63180521.006016403</v>
      </c>
      <c r="I7" s="3">
        <v>683776655.87726998</v>
      </c>
      <c r="J7" s="3">
        <v>1798324006.6226399</v>
      </c>
      <c r="K7" s="3">
        <v>41077150.383075602</v>
      </c>
      <c r="L7" s="3">
        <v>1510439607.86689</v>
      </c>
      <c r="M7" s="3">
        <v>1081004864.8346601</v>
      </c>
      <c r="N7" s="2">
        <v>26.653909747494598</v>
      </c>
      <c r="O7" s="2">
        <v>14.675681221384499</v>
      </c>
      <c r="P7" s="2">
        <v>0.116963447327571</v>
      </c>
      <c r="Q7" s="2">
        <v>1.2658470300665601</v>
      </c>
      <c r="R7" s="2">
        <v>3.32916177133909</v>
      </c>
      <c r="S7" s="2">
        <v>7.6044404805400395E-2</v>
      </c>
      <c r="T7" s="2">
        <v>2.79621346426369</v>
      </c>
      <c r="U7" s="2">
        <v>2.00121894463165</v>
      </c>
    </row>
    <row r="8" spans="1:23" x14ac:dyDescent="0.2">
      <c r="A8">
        <v>7</v>
      </c>
      <c r="B8" s="3">
        <v>2747846.3569293302</v>
      </c>
      <c r="C8" s="3">
        <v>29742875498.603001</v>
      </c>
      <c r="D8" s="3">
        <v>30134718319.903301</v>
      </c>
      <c r="E8" s="3">
        <v>59877593818.506302</v>
      </c>
      <c r="F8" s="3">
        <v>14812993847.139601</v>
      </c>
      <c r="G8" s="3">
        <v>9078634070.8402691</v>
      </c>
      <c r="H8" s="3">
        <v>98781256.271991506</v>
      </c>
      <c r="I8" s="3">
        <v>940093141.09905696</v>
      </c>
      <c r="J8" s="3">
        <v>2005128937.83179</v>
      </c>
      <c r="K8" s="3">
        <v>43262154.6866671</v>
      </c>
      <c r="L8" s="3">
        <v>1698897899.0378699</v>
      </c>
      <c r="M8" s="3">
        <v>1456927012.9960101</v>
      </c>
      <c r="N8" s="2">
        <v>24.7387927645172</v>
      </c>
      <c r="O8" s="2">
        <v>15.161988803956101</v>
      </c>
      <c r="P8" s="2">
        <v>0.16497198696962501</v>
      </c>
      <c r="Q8" s="2">
        <v>1.5700249144088001</v>
      </c>
      <c r="R8" s="2">
        <v>3.3487132831514499</v>
      </c>
      <c r="S8" s="2">
        <v>7.2250990608938095E-2</v>
      </c>
      <c r="T8" s="2">
        <v>2.8372848518051099</v>
      </c>
      <c r="U8" s="2">
        <v>2.4331756172635601</v>
      </c>
    </row>
    <row r="9" spans="1:23" x14ac:dyDescent="0.2">
      <c r="A9">
        <v>8</v>
      </c>
      <c r="B9" s="3">
        <v>2747984.4327531499</v>
      </c>
      <c r="C9" s="3">
        <v>33989743428.753101</v>
      </c>
      <c r="D9" s="3">
        <v>34113196809.400902</v>
      </c>
      <c r="E9" s="3">
        <v>68102940238.154099</v>
      </c>
      <c r="F9" s="3">
        <v>15354359285.5842</v>
      </c>
      <c r="G9" s="3">
        <v>10607649334.290899</v>
      </c>
      <c r="H9" s="3">
        <v>259129992.405334</v>
      </c>
      <c r="I9" s="3">
        <v>1331883811.2451601</v>
      </c>
      <c r="J9" s="3">
        <v>2229614217.6897001</v>
      </c>
      <c r="K9" s="3">
        <v>56873922.294415303</v>
      </c>
      <c r="L9" s="3">
        <v>2272578925.0672698</v>
      </c>
      <c r="M9" s="3">
        <v>2001107320.8238399</v>
      </c>
      <c r="N9" s="2">
        <v>22.545809669730001</v>
      </c>
      <c r="O9" s="2">
        <v>15.5759050889672</v>
      </c>
      <c r="P9" s="2">
        <v>0.380497510825764</v>
      </c>
      <c r="Q9" s="2">
        <v>1.9556920840533401</v>
      </c>
      <c r="R9" s="2">
        <v>3.2738883371155501</v>
      </c>
      <c r="S9" s="2">
        <v>8.3511698754163602E-2</v>
      </c>
      <c r="T9" s="2">
        <v>3.3369762261660401</v>
      </c>
      <c r="U9" s="2">
        <v>2.9383567197334202</v>
      </c>
    </row>
    <row r="10" spans="1:23" x14ac:dyDescent="0.2">
      <c r="A10">
        <v>9</v>
      </c>
      <c r="B10" s="3">
        <v>2748042.5822946099</v>
      </c>
      <c r="C10" s="3">
        <v>40088129768.291</v>
      </c>
      <c r="D10" s="3">
        <v>39657623068.682297</v>
      </c>
      <c r="E10" s="3">
        <v>79745752836.973297</v>
      </c>
      <c r="F10" s="3">
        <v>15656353582.4806</v>
      </c>
      <c r="G10" s="3">
        <v>13515157125.381001</v>
      </c>
      <c r="H10" s="3">
        <v>588308177.40277696</v>
      </c>
      <c r="I10" s="3">
        <v>1659423366.5900199</v>
      </c>
      <c r="J10" s="3">
        <v>2290156689.4618702</v>
      </c>
      <c r="K10" s="3">
        <v>73316810.959874198</v>
      </c>
      <c r="L10" s="3">
        <v>2926009636.4663601</v>
      </c>
      <c r="M10" s="3">
        <v>2948897679.9398398</v>
      </c>
      <c r="N10" s="2">
        <v>19.632836891623999</v>
      </c>
      <c r="O10" s="2">
        <v>16.947808058205201</v>
      </c>
      <c r="P10" s="2">
        <v>0.73772979309064102</v>
      </c>
      <c r="Q10" s="2">
        <v>2.0808924708284202</v>
      </c>
      <c r="R10" s="2">
        <v>2.8718227717326901</v>
      </c>
      <c r="S10" s="2">
        <v>9.1938201536272302E-2</v>
      </c>
      <c r="T10" s="2">
        <v>3.6691730059255798</v>
      </c>
      <c r="U10" s="2">
        <v>3.6978742754719001</v>
      </c>
    </row>
    <row r="11" spans="1:23" x14ac:dyDescent="0.2">
      <c r="A11">
        <v>10</v>
      </c>
      <c r="B11" s="3">
        <v>2748063.5193039002</v>
      </c>
      <c r="C11" s="3">
        <v>59564986259.146202</v>
      </c>
      <c r="D11" s="3">
        <v>59038151385.299301</v>
      </c>
      <c r="E11" s="3">
        <v>118603137644.44501</v>
      </c>
      <c r="F11" s="3">
        <v>16542862951.057899</v>
      </c>
      <c r="G11" s="3">
        <v>23160110972.182598</v>
      </c>
      <c r="H11" s="3">
        <v>3164214992.7171102</v>
      </c>
      <c r="I11" s="3">
        <v>3337260493.5719199</v>
      </c>
      <c r="J11" s="3">
        <v>2376970075.4717598</v>
      </c>
      <c r="K11" s="3">
        <v>114666989.84030101</v>
      </c>
      <c r="L11" s="3">
        <v>5048127232.1395798</v>
      </c>
      <c r="M11" s="3">
        <v>5293937678.3180199</v>
      </c>
      <c r="N11" s="2">
        <v>13.9480820487658</v>
      </c>
      <c r="O11" s="2">
        <v>19.527401578205399</v>
      </c>
      <c r="P11" s="2">
        <v>2.6679015880700798</v>
      </c>
      <c r="Q11" s="2">
        <v>2.8138045585071501</v>
      </c>
      <c r="R11" s="2">
        <v>2.0041375992914801</v>
      </c>
      <c r="S11" s="2">
        <v>9.6681244794767598E-2</v>
      </c>
      <c r="T11" s="2">
        <v>4.2563184519393698</v>
      </c>
      <c r="U11" s="2">
        <v>4.4635730415399699</v>
      </c>
      <c r="V11" s="10">
        <f>SUM(N11:U11)</f>
        <v>49.777900111114022</v>
      </c>
      <c r="W11" t="s">
        <v>104</v>
      </c>
    </row>
    <row r="12" spans="1:23" s="33" customFormat="1" x14ac:dyDescent="0.2">
      <c r="A12" s="33" t="s">
        <v>109</v>
      </c>
      <c r="B12" s="34">
        <f t="shared" ref="B12:E12" si="0">SUM(B2:B11)</f>
        <v>27479695.00677811</v>
      </c>
      <c r="C12" s="34">
        <f t="shared" si="0"/>
        <v>282271740332.88971</v>
      </c>
      <c r="D12" s="34">
        <f t="shared" si="0"/>
        <v>294275831133.71002</v>
      </c>
      <c r="E12" s="34">
        <f t="shared" si="0"/>
        <v>576547571466.59961</v>
      </c>
      <c r="F12" s="34">
        <f>SUM(F2:F11)</f>
        <v>141408880112.64801</v>
      </c>
      <c r="G12" s="34">
        <f t="shared" ref="G12:M12" si="1">SUM(G2:G11)</f>
        <v>88521213484.906387</v>
      </c>
      <c r="H12" s="34">
        <f t="shared" si="1"/>
        <v>4234047000.5916023</v>
      </c>
      <c r="I12" s="34">
        <f t="shared" si="1"/>
        <v>9674287392.363163</v>
      </c>
      <c r="J12" s="34">
        <f t="shared" si="1"/>
        <v>16613633534.112116</v>
      </c>
      <c r="K12" s="34">
        <f t="shared" si="1"/>
        <v>456625856.80066192</v>
      </c>
      <c r="L12" s="34">
        <f t="shared" si="1"/>
        <v>18490627235.181778</v>
      </c>
      <c r="M12" s="34">
        <f t="shared" si="1"/>
        <v>14876516517.106092</v>
      </c>
      <c r="N12" s="35"/>
      <c r="O12" s="35"/>
      <c r="P12" s="35"/>
      <c r="Q12" s="35"/>
      <c r="R12" s="35"/>
      <c r="S12" s="35"/>
      <c r="T12" s="35"/>
      <c r="U12" s="35"/>
      <c r="V12" s="36"/>
    </row>
    <row r="13" spans="1:23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2"/>
      <c r="O13" s="2"/>
      <c r="P13" s="2"/>
      <c r="Q13" s="2"/>
      <c r="R13" s="2"/>
      <c r="S13" s="2"/>
      <c r="T13" s="2"/>
      <c r="U13" s="2"/>
      <c r="V13" s="10"/>
    </row>
    <row r="15" spans="1:23" x14ac:dyDescent="0.2">
      <c r="E15" s="32" t="s">
        <v>108</v>
      </c>
      <c r="O15" t="s">
        <v>63</v>
      </c>
    </row>
    <row r="16" spans="1:23" ht="35" thickBot="1" x14ac:dyDescent="0.25">
      <c r="E16" s="4" t="s">
        <v>0</v>
      </c>
      <c r="F16" s="4" t="s">
        <v>44</v>
      </c>
      <c r="G16" s="4" t="s">
        <v>45</v>
      </c>
      <c r="H16" s="4" t="s">
        <v>46</v>
      </c>
      <c r="I16" s="4" t="s">
        <v>47</v>
      </c>
      <c r="J16" s="4" t="s">
        <v>48</v>
      </c>
      <c r="K16" s="4" t="s">
        <v>49</v>
      </c>
      <c r="L16" s="4" t="s">
        <v>50</v>
      </c>
      <c r="M16" s="4" t="s">
        <v>51</v>
      </c>
      <c r="O16" t="s">
        <v>100</v>
      </c>
    </row>
    <row r="17" spans="5:21" ht="20" customHeight="1" thickBot="1" x14ac:dyDescent="0.25">
      <c r="E17" s="20">
        <v>1</v>
      </c>
      <c r="F17" s="11">
        <f t="shared" ref="F17:M26" si="2">F2/$D2</f>
        <v>0.72141435718557068</v>
      </c>
      <c r="G17" s="9">
        <f t="shared" si="2"/>
        <v>0.17268274805498135</v>
      </c>
      <c r="H17" s="9">
        <f t="shared" si="2"/>
        <v>4.1895446909765005E-5</v>
      </c>
      <c r="I17" s="9">
        <f t="shared" si="2"/>
        <v>8.9909451366356335E-3</v>
      </c>
      <c r="J17" s="9">
        <f t="shared" si="2"/>
        <v>4.5448951562169194E-2</v>
      </c>
      <c r="K17" s="9">
        <f t="shared" si="2"/>
        <v>1.1495085651279315E-3</v>
      </c>
      <c r="L17" s="9">
        <f t="shared" si="2"/>
        <v>4.3391652336021255E-2</v>
      </c>
      <c r="M17" s="9">
        <f t="shared" si="2"/>
        <v>6.8799417125850497E-3</v>
      </c>
      <c r="O17" t="s">
        <v>60</v>
      </c>
    </row>
    <row r="18" spans="5:21" ht="20" customHeight="1" x14ac:dyDescent="0.2">
      <c r="E18" s="20">
        <v>2</v>
      </c>
      <c r="F18" s="9">
        <f t="shared" si="2"/>
        <v>0.66550227618925939</v>
      </c>
      <c r="G18" s="9">
        <f t="shared" si="2"/>
        <v>0.20708219434746711</v>
      </c>
      <c r="H18" s="9">
        <f t="shared" si="2"/>
        <v>1.8601843767413552E-4</v>
      </c>
      <c r="I18" s="9">
        <f t="shared" si="2"/>
        <v>1.2997214708828303E-2</v>
      </c>
      <c r="J18" s="9">
        <f t="shared" si="2"/>
        <v>5.1537537703231794E-2</v>
      </c>
      <c r="K18" s="9">
        <f t="shared" si="2"/>
        <v>1.14277792977074E-3</v>
      </c>
      <c r="L18" s="9">
        <f t="shared" si="2"/>
        <v>4.8257968825425678E-2</v>
      </c>
      <c r="M18" s="9">
        <f t="shared" si="2"/>
        <v>1.3294011858339505E-2</v>
      </c>
    </row>
    <row r="19" spans="5:21" ht="20" customHeight="1" x14ac:dyDescent="0.2">
      <c r="E19" s="20">
        <v>3</v>
      </c>
      <c r="F19" s="9">
        <f t="shared" si="2"/>
        <v>0.6261839613535799</v>
      </c>
      <c r="G19" s="9">
        <f t="shared" si="2"/>
        <v>0.23427701244453597</v>
      </c>
      <c r="H19" s="9">
        <f t="shared" si="2"/>
        <v>3.1836924446530459E-4</v>
      </c>
      <c r="I19" s="9">
        <f t="shared" si="2"/>
        <v>1.4448227337903975E-2</v>
      </c>
      <c r="J19" s="9">
        <f t="shared" si="2"/>
        <v>5.7212534659539231E-2</v>
      </c>
      <c r="K19" s="9">
        <f t="shared" si="2"/>
        <v>1.1454550815372844E-3</v>
      </c>
      <c r="L19" s="9">
        <f t="shared" si="2"/>
        <v>4.8154292502514802E-2</v>
      </c>
      <c r="M19" s="9">
        <f t="shared" si="2"/>
        <v>1.8260147375924445E-2</v>
      </c>
      <c r="O19" t="s">
        <v>61</v>
      </c>
    </row>
    <row r="20" spans="5:21" ht="20" customHeight="1" x14ac:dyDescent="0.2">
      <c r="E20" s="20">
        <v>4</v>
      </c>
      <c r="F20" s="9">
        <f t="shared" si="2"/>
        <v>0.58531203922713249</v>
      </c>
      <c r="G20" s="9">
        <f t="shared" si="2"/>
        <v>0.25512450417688931</v>
      </c>
      <c r="H20" s="9">
        <f t="shared" si="2"/>
        <v>8.8484513382447363E-4</v>
      </c>
      <c r="I20" s="9">
        <f t="shared" si="2"/>
        <v>1.9358554212213455E-2</v>
      </c>
      <c r="J20" s="9">
        <f t="shared" si="2"/>
        <v>6.2072724769896719E-2</v>
      </c>
      <c r="K20" s="9">
        <f t="shared" si="2"/>
        <v>1.2379117081197447E-3</v>
      </c>
      <c r="L20" s="9">
        <f t="shared" si="2"/>
        <v>5.0618984861910798E-2</v>
      </c>
      <c r="M20" s="9">
        <f t="shared" si="2"/>
        <v>2.5390435910013508E-2</v>
      </c>
    </row>
    <row r="21" spans="5:21" ht="20" customHeight="1" x14ac:dyDescent="0.25">
      <c r="E21" s="20">
        <v>5</v>
      </c>
      <c r="F21" s="9">
        <f t="shared" si="2"/>
        <v>0.55734499989377584</v>
      </c>
      <c r="G21" s="9">
        <f t="shared" si="2"/>
        <v>0.27198162018337135</v>
      </c>
      <c r="H21" s="9">
        <f t="shared" si="2"/>
        <v>1.1700337812109622E-3</v>
      </c>
      <c r="I21" s="9">
        <f t="shared" si="2"/>
        <v>2.3428439193909838E-2</v>
      </c>
      <c r="J21" s="9">
        <f t="shared" si="2"/>
        <v>6.359897714017361E-2</v>
      </c>
      <c r="K21" s="9">
        <f t="shared" si="2"/>
        <v>1.3991436909990944E-3</v>
      </c>
      <c r="L21" s="9">
        <f t="shared" si="2"/>
        <v>5.0292905659970709E-2</v>
      </c>
      <c r="M21" s="9">
        <f t="shared" si="2"/>
        <v>3.0783880456590147E-2</v>
      </c>
      <c r="O21" s="27" t="s">
        <v>102</v>
      </c>
      <c r="P21" s="28"/>
      <c r="Q21" s="28"/>
      <c r="R21" s="28"/>
      <c r="S21" s="28"/>
      <c r="T21" s="28"/>
      <c r="U21" s="28"/>
    </row>
    <row r="22" spans="5:21" ht="20" customHeight="1" x14ac:dyDescent="0.25">
      <c r="E22" s="20">
        <v>6</v>
      </c>
      <c r="F22" s="9">
        <f t="shared" si="2"/>
        <v>0.52349776669334225</v>
      </c>
      <c r="G22" s="9">
        <f t="shared" si="2"/>
        <v>0.28823862678609141</v>
      </c>
      <c r="H22" s="9">
        <f t="shared" si="2"/>
        <v>2.2972278378969864E-3</v>
      </c>
      <c r="I22" s="9">
        <f t="shared" si="2"/>
        <v>2.4861947064915672E-2</v>
      </c>
      <c r="J22" s="9">
        <f t="shared" si="2"/>
        <v>6.5386608147447539E-2</v>
      </c>
      <c r="K22" s="9">
        <f t="shared" si="2"/>
        <v>1.4935548466353467E-3</v>
      </c>
      <c r="L22" s="9">
        <f t="shared" si="2"/>
        <v>5.4919203884431583E-2</v>
      </c>
      <c r="M22" s="9">
        <f t="shared" si="2"/>
        <v>3.9305064739237824E-2</v>
      </c>
      <c r="O22" s="27" t="s">
        <v>103</v>
      </c>
      <c r="P22" s="28"/>
      <c r="Q22" s="28"/>
      <c r="R22" s="28"/>
      <c r="S22" s="28"/>
      <c r="T22" s="28"/>
      <c r="U22" s="28"/>
    </row>
    <row r="23" spans="5:21" ht="20" customHeight="1" x14ac:dyDescent="0.2">
      <c r="E23" s="20">
        <v>7</v>
      </c>
      <c r="F23" s="9">
        <f t="shared" si="2"/>
        <v>0.49155906120934112</v>
      </c>
      <c r="G23" s="9">
        <f t="shared" si="2"/>
        <v>0.30126825724612916</v>
      </c>
      <c r="H23" s="9">
        <f t="shared" si="2"/>
        <v>3.2779883728579176E-3</v>
      </c>
      <c r="I23" s="9">
        <f t="shared" si="2"/>
        <v>3.1196347386401375E-2</v>
      </c>
      <c r="J23" s="9">
        <f t="shared" si="2"/>
        <v>6.6538831275799501E-2</v>
      </c>
      <c r="K23" s="9">
        <f t="shared" si="2"/>
        <v>1.4356249900001031E-3</v>
      </c>
      <c r="L23" s="9">
        <f t="shared" si="2"/>
        <v>5.6376763870919819E-2</v>
      </c>
      <c r="M23" s="9">
        <f t="shared" si="2"/>
        <v>4.8347125648549455E-2</v>
      </c>
    </row>
    <row r="24" spans="5:21" ht="20" customHeight="1" x14ac:dyDescent="0.2">
      <c r="E24" s="20">
        <v>8</v>
      </c>
      <c r="F24" s="9">
        <f t="shared" si="2"/>
        <v>0.45010027560222238</v>
      </c>
      <c r="G24" s="9">
        <f t="shared" si="2"/>
        <v>0.31095442017816538</v>
      </c>
      <c r="H24" s="9">
        <f t="shared" si="2"/>
        <v>7.5961802657534298E-3</v>
      </c>
      <c r="I24" s="9">
        <f t="shared" si="2"/>
        <v>3.9043066490857876E-2</v>
      </c>
      <c r="J24" s="9">
        <f t="shared" si="2"/>
        <v>6.5359286910198461E-2</v>
      </c>
      <c r="K24" s="9">
        <f t="shared" si="2"/>
        <v>1.6672117424873533E-3</v>
      </c>
      <c r="L24" s="9">
        <f t="shared" si="2"/>
        <v>6.661876158264339E-2</v>
      </c>
      <c r="M24" s="9">
        <f t="shared" si="2"/>
        <v>5.8660797227669252E-2</v>
      </c>
    </row>
    <row r="25" spans="5:21" ht="20" customHeight="1" thickBot="1" x14ac:dyDescent="0.25">
      <c r="E25" s="20">
        <v>9</v>
      </c>
      <c r="F25" s="9">
        <f t="shared" si="2"/>
        <v>0.39478799713653173</v>
      </c>
      <c r="G25" s="9">
        <f t="shared" si="2"/>
        <v>0.34079594487986214</v>
      </c>
      <c r="H25" s="9">
        <f t="shared" si="2"/>
        <v>1.4834680746849023E-2</v>
      </c>
      <c r="I25" s="9">
        <f t="shared" si="2"/>
        <v>4.184374246827894E-2</v>
      </c>
      <c r="J25" s="9">
        <f t="shared" si="2"/>
        <v>5.7748208597766706E-2</v>
      </c>
      <c r="K25" s="9">
        <f t="shared" si="2"/>
        <v>1.8487444603752015E-3</v>
      </c>
      <c r="L25" s="9">
        <f t="shared" si="2"/>
        <v>7.3781770314344325E-2</v>
      </c>
      <c r="M25" s="9">
        <f t="shared" si="2"/>
        <v>7.4358911395993127E-2</v>
      </c>
    </row>
    <row r="26" spans="5:21" ht="20" customHeight="1" thickBot="1" x14ac:dyDescent="0.25">
      <c r="E26" s="20">
        <v>10</v>
      </c>
      <c r="F26" s="11">
        <f t="shared" si="2"/>
        <v>0.28020631681189678</v>
      </c>
      <c r="G26" s="11">
        <f t="shared" si="2"/>
        <v>0.39229058547299878</v>
      </c>
      <c r="H26" s="9">
        <f t="shared" si="2"/>
        <v>5.359610554311852E-2</v>
      </c>
      <c r="I26" s="9">
        <f t="shared" si="2"/>
        <v>5.6527184799402594E-2</v>
      </c>
      <c r="J26" s="9">
        <f t="shared" si="2"/>
        <v>4.0261593896444958E-2</v>
      </c>
      <c r="K26" s="9">
        <f t="shared" si="2"/>
        <v>1.9422523766361268E-3</v>
      </c>
      <c r="L26" s="12">
        <f t="shared" si="2"/>
        <v>8.5506187332901148E-2</v>
      </c>
      <c r="M26" s="13">
        <f t="shared" si="2"/>
        <v>8.966977376659914E-2</v>
      </c>
    </row>
  </sheetData>
  <conditionalFormatting sqref="F17:M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:M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U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U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U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U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U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:U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:U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:U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:U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:U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801C-C42A-5A46-B8CE-335E1DD1C035}">
  <dimension ref="A1:S13"/>
  <sheetViews>
    <sheetView topLeftCell="G1" zoomScale="120" zoomScaleNormal="120" workbookViewId="0">
      <selection activeCell="Q17" sqref="Q17"/>
    </sheetView>
  </sheetViews>
  <sheetFormatPr baseColWidth="10" defaultRowHeight="16" x14ac:dyDescent="0.2"/>
  <cols>
    <col min="1" max="1" width="6.6640625" customWidth="1"/>
    <col min="2" max="2" width="13" bestFit="1" customWidth="1"/>
    <col min="3" max="7" width="16.33203125" customWidth="1"/>
    <col min="8" max="15" width="11" bestFit="1" customWidth="1"/>
    <col min="16" max="17" width="16.6640625" bestFit="1" customWidth="1"/>
    <col min="18" max="18" width="13.33203125" customWidth="1"/>
    <col min="19" max="19" width="10.83203125" style="20"/>
  </cols>
  <sheetData>
    <row r="1" spans="1:19" s="24" customFormat="1" ht="48" customHeight="1" x14ac:dyDescent="0.2">
      <c r="P1" s="29" t="s">
        <v>69</v>
      </c>
      <c r="Q1" s="30"/>
    </row>
    <row r="2" spans="1:19" s="4" customFormat="1" ht="34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64</v>
      </c>
      <c r="O2" s="4" t="s">
        <v>65</v>
      </c>
      <c r="P2" s="26" t="s">
        <v>66</v>
      </c>
      <c r="Q2" s="26" t="s">
        <v>67</v>
      </c>
      <c r="R2" s="4" t="s">
        <v>68</v>
      </c>
    </row>
    <row r="3" spans="1:19" x14ac:dyDescent="0.2">
      <c r="A3">
        <v>1</v>
      </c>
      <c r="B3" s="3">
        <v>2747642.50515944</v>
      </c>
      <c r="C3" s="3">
        <v>32807166219.147499</v>
      </c>
      <c r="D3" s="3">
        <v>29276373226.599098</v>
      </c>
      <c r="E3" s="3">
        <v>12730887016.797501</v>
      </c>
      <c r="F3" s="3">
        <v>16287403643.337299</v>
      </c>
      <c r="G3" s="3">
        <v>29018290660.1348</v>
      </c>
      <c r="H3" s="2">
        <v>43.871939825480901</v>
      </c>
      <c r="I3" s="2">
        <v>56.128060174519</v>
      </c>
      <c r="J3" s="2">
        <v>38.805201679891702</v>
      </c>
      <c r="K3" s="2">
        <v>49.645871681021198</v>
      </c>
      <c r="L3" s="2">
        <v>43.485191687715101</v>
      </c>
      <c r="M3" s="2">
        <v>55.633269590030203</v>
      </c>
      <c r="N3" s="2">
        <v>4.5101528767221497</v>
      </c>
      <c r="O3" s="2">
        <v>5.5347405121886402</v>
      </c>
      <c r="P3" s="23">
        <v>1527706442.0157001</v>
      </c>
      <c r="Q3" s="23">
        <v>1954488437.20047</v>
      </c>
      <c r="R3" s="22">
        <v>5.2646327790577097</v>
      </c>
      <c r="S3" s="21">
        <f>P3/G3</f>
        <v>5.2646327790577152E-2</v>
      </c>
    </row>
    <row r="4" spans="1:19" x14ac:dyDescent="0.2">
      <c r="A4">
        <v>2</v>
      </c>
      <c r="B4" s="3">
        <v>2748295.6540946802</v>
      </c>
      <c r="C4" s="3">
        <v>41822410674.936996</v>
      </c>
      <c r="D4" s="3">
        <v>35426039310.566101</v>
      </c>
      <c r="E4" s="3">
        <v>16171881744.9347</v>
      </c>
      <c r="F4" s="3">
        <v>18893257154.780602</v>
      </c>
      <c r="G4" s="3">
        <v>35065138899.715302</v>
      </c>
      <c r="H4" s="2">
        <v>46.119542806277003</v>
      </c>
      <c r="I4" s="2">
        <v>53.880457193722897</v>
      </c>
      <c r="J4" s="2">
        <v>38.667980835992402</v>
      </c>
      <c r="K4" s="2">
        <v>45.174959668460197</v>
      </c>
      <c r="L4" s="2">
        <v>45.649703042336199</v>
      </c>
      <c r="M4" s="2">
        <v>53.331553632487299</v>
      </c>
      <c r="N4" s="2">
        <v>5.7291890877431797</v>
      </c>
      <c r="O4" s="2">
        <v>6.4202544537869501</v>
      </c>
      <c r="P4" s="23">
        <v>1940625809.3921599</v>
      </c>
      <c r="Q4" s="23">
        <v>2267190858.5736699</v>
      </c>
      <c r="R4" s="22">
        <v>5.5343451367532399</v>
      </c>
      <c r="S4" s="21">
        <f t="shared" ref="S4:S12" si="0">P4/G4</f>
        <v>5.5343451367532333E-2</v>
      </c>
    </row>
    <row r="5" spans="1:19" x14ac:dyDescent="0.2">
      <c r="A5">
        <v>3</v>
      </c>
      <c r="B5" s="3">
        <v>2747874.69444041</v>
      </c>
      <c r="C5" s="3">
        <v>47728594014.963997</v>
      </c>
      <c r="D5" s="3">
        <v>39497871055.729301</v>
      </c>
      <c r="E5" s="3">
        <v>18492395560.589802</v>
      </c>
      <c r="F5" s="3">
        <v>20558976669.909401</v>
      </c>
      <c r="G5" s="3">
        <v>39051372230.499298</v>
      </c>
      <c r="H5" s="2">
        <v>47.354022418057802</v>
      </c>
      <c r="I5" s="2">
        <v>52.645977581942098</v>
      </c>
      <c r="J5" s="2">
        <v>38.744899032207101</v>
      </c>
      <c r="K5" s="2">
        <v>43.074758630986999</v>
      </c>
      <c r="L5" s="2">
        <v>46.8187146960353</v>
      </c>
      <c r="M5" s="2">
        <v>52.050847603664103</v>
      </c>
      <c r="N5" s="2">
        <v>6.5512741512066697</v>
      </c>
      <c r="O5" s="2">
        <v>6.9862946578742502</v>
      </c>
      <c r="P5" s="23">
        <v>2219087467.2707801</v>
      </c>
      <c r="Q5" s="23">
        <v>2467077200.3891301</v>
      </c>
      <c r="R5" s="22">
        <v>5.6824826901669301</v>
      </c>
      <c r="S5" s="21">
        <f t="shared" si="0"/>
        <v>5.6824826901669352E-2</v>
      </c>
    </row>
    <row r="6" spans="1:19" x14ac:dyDescent="0.2">
      <c r="A6">
        <v>4</v>
      </c>
      <c r="B6" s="3">
        <v>2747979.4784429399</v>
      </c>
      <c r="C6" s="3">
        <v>55228987672.520798</v>
      </c>
      <c r="D6" s="3">
        <v>44792749154.822098</v>
      </c>
      <c r="E6" s="3">
        <v>21174220742.446899</v>
      </c>
      <c r="F6" s="3">
        <v>23060388456.8377</v>
      </c>
      <c r="G6" s="3">
        <v>44234609199.284698</v>
      </c>
      <c r="H6" s="2">
        <v>47.867995503370103</v>
      </c>
      <c r="I6" s="2">
        <v>52.132004496629797</v>
      </c>
      <c r="J6" s="2">
        <v>38.338962263800802</v>
      </c>
      <c r="K6" s="2">
        <v>41.754139318239503</v>
      </c>
      <c r="L6" s="2">
        <v>47.271536447249801</v>
      </c>
      <c r="M6" s="2">
        <v>51.4824137655215</v>
      </c>
      <c r="N6" s="2">
        <v>7.5013604682763004</v>
      </c>
      <c r="O6" s="2">
        <v>7.8363175011677102</v>
      </c>
      <c r="P6" s="23">
        <v>2540906489.0936298</v>
      </c>
      <c r="Q6" s="23">
        <v>2767246614.8205199</v>
      </c>
      <c r="R6" s="22">
        <v>5.7441594604044202</v>
      </c>
      <c r="S6" s="21">
        <f t="shared" si="0"/>
        <v>5.7441594604044063E-2</v>
      </c>
    </row>
    <row r="7" spans="1:19" x14ac:dyDescent="0.2">
      <c r="A7">
        <v>5</v>
      </c>
      <c r="B7" s="3">
        <v>2747628.8515828899</v>
      </c>
      <c r="C7" s="3">
        <v>62300009849.796898</v>
      </c>
      <c r="D7" s="3">
        <v>49501029635.587097</v>
      </c>
      <c r="E7" s="3">
        <v>23802239836.017101</v>
      </c>
      <c r="F7" s="3">
        <v>25029174922.970699</v>
      </c>
      <c r="G7" s="3">
        <v>48831414758.9879</v>
      </c>
      <c r="H7" s="2">
        <v>48.743703113037597</v>
      </c>
      <c r="I7" s="2">
        <v>51.256296886962197</v>
      </c>
      <c r="J7" s="2">
        <v>38.205836392969204</v>
      </c>
      <c r="K7" s="2">
        <v>40.175234295010902</v>
      </c>
      <c r="L7" s="2">
        <v>48.084332813362899</v>
      </c>
      <c r="M7" s="2">
        <v>50.5629379979136</v>
      </c>
      <c r="N7" s="2">
        <v>8.43238498049665</v>
      </c>
      <c r="O7" s="2">
        <v>8.5053450793239804</v>
      </c>
      <c r="P7" s="23">
        <v>2856268780.3220501</v>
      </c>
      <c r="Q7" s="23">
        <v>3003500990.7564902</v>
      </c>
      <c r="R7" s="22">
        <v>5.8492443735645203</v>
      </c>
      <c r="S7" s="21">
        <f t="shared" si="0"/>
        <v>5.8492443735645112E-2</v>
      </c>
    </row>
    <row r="8" spans="1:19" x14ac:dyDescent="0.2">
      <c r="A8">
        <v>6</v>
      </c>
      <c r="B8" s="3">
        <v>2748336.9317767601</v>
      </c>
      <c r="C8" s="3">
        <v>70697712578.309692</v>
      </c>
      <c r="D8" s="3">
        <v>54853430904.834999</v>
      </c>
      <c r="E8" s="3">
        <v>26514380477.310398</v>
      </c>
      <c r="F8" s="3">
        <v>27502940702.588501</v>
      </c>
      <c r="G8" s="3">
        <v>54017321179.898903</v>
      </c>
      <c r="H8" s="2">
        <v>49.084959968686903</v>
      </c>
      <c r="I8" s="2">
        <v>50.915040031313097</v>
      </c>
      <c r="J8" s="2">
        <v>37.503873195248303</v>
      </c>
      <c r="K8" s="2">
        <v>38.902164864420897</v>
      </c>
      <c r="L8" s="2">
        <v>48.336776824972098</v>
      </c>
      <c r="M8" s="2">
        <v>50.138961681910502</v>
      </c>
      <c r="N8" s="2">
        <v>9.39321111140681</v>
      </c>
      <c r="O8" s="2">
        <v>9.3459733327851708</v>
      </c>
      <c r="P8" s="23">
        <v>3181725657.2772498</v>
      </c>
      <c r="Q8" s="23">
        <v>3300352884.3106198</v>
      </c>
      <c r="R8" s="22">
        <v>5.8901951962424297</v>
      </c>
      <c r="S8" s="21">
        <f t="shared" si="0"/>
        <v>5.8901951962424301E-2</v>
      </c>
    </row>
    <row r="9" spans="1:19" x14ac:dyDescent="0.2">
      <c r="A9">
        <v>7</v>
      </c>
      <c r="B9" s="3">
        <v>2747846.3569293302</v>
      </c>
      <c r="C9" s="3">
        <v>80541995781.497406</v>
      </c>
      <c r="D9" s="3">
        <v>60962714759.237099</v>
      </c>
      <c r="E9" s="3">
        <v>29742875498.603001</v>
      </c>
      <c r="F9" s="3">
        <v>30134718319.903301</v>
      </c>
      <c r="G9" s="3">
        <v>59877593818.506302</v>
      </c>
      <c r="H9" s="2">
        <v>49.672796787319001</v>
      </c>
      <c r="I9" s="2">
        <v>50.327203212680899</v>
      </c>
      <c r="J9" s="2">
        <v>36.928406367396803</v>
      </c>
      <c r="K9" s="2">
        <v>37.414913831606398</v>
      </c>
      <c r="L9" s="2">
        <v>48.788633537840099</v>
      </c>
      <c r="M9" s="2">
        <v>49.431391693949003</v>
      </c>
      <c r="N9" s="2">
        <v>10.5369653595243</v>
      </c>
      <c r="O9" s="2">
        <v>10.240296732425501</v>
      </c>
      <c r="P9" s="23">
        <v>3569145059.8323598</v>
      </c>
      <c r="Q9" s="23">
        <v>3616166198.3884001</v>
      </c>
      <c r="R9" s="22">
        <v>5.9607356144782901</v>
      </c>
      <c r="S9" s="21">
        <f t="shared" si="0"/>
        <v>5.9607356144782957E-2</v>
      </c>
    </row>
    <row r="10" spans="1:19" x14ac:dyDescent="0.2">
      <c r="A10">
        <v>8</v>
      </c>
      <c r="B10" s="3">
        <v>2747984.4327531499</v>
      </c>
      <c r="C10" s="3">
        <v>95316514865.332199</v>
      </c>
      <c r="D10" s="3">
        <v>69592985603.748001</v>
      </c>
      <c r="E10" s="3">
        <v>33989743428.753101</v>
      </c>
      <c r="F10" s="3">
        <v>34113196809.400902</v>
      </c>
      <c r="G10" s="3">
        <v>68102940238.154099</v>
      </c>
      <c r="H10" s="2">
        <v>49.909362664654402</v>
      </c>
      <c r="I10" s="2">
        <v>50.090637335345598</v>
      </c>
      <c r="J10" s="2">
        <v>35.659868047814697</v>
      </c>
      <c r="K10" s="2">
        <v>35.789387450430397</v>
      </c>
      <c r="L10" s="2">
        <v>48.8407605075109</v>
      </c>
      <c r="M10" s="2">
        <v>49.018153932403898</v>
      </c>
      <c r="N10" s="2">
        <v>12.041497100867399</v>
      </c>
      <c r="O10" s="2">
        <v>11.5922523021949</v>
      </c>
      <c r="P10" s="23">
        <v>4078769211.4503798</v>
      </c>
      <c r="Q10" s="23">
        <v>4093583617.1281099</v>
      </c>
      <c r="R10" s="22">
        <v>5.98912351975852</v>
      </c>
      <c r="S10" s="21">
        <f t="shared" si="0"/>
        <v>5.9891235197585255E-2</v>
      </c>
    </row>
    <row r="11" spans="1:19" x14ac:dyDescent="0.2">
      <c r="A11">
        <v>9</v>
      </c>
      <c r="B11" s="3">
        <v>2748042.5822946099</v>
      </c>
      <c r="C11" s="3">
        <v>117372854152.933</v>
      </c>
      <c r="D11" s="3">
        <v>82061193028.969299</v>
      </c>
      <c r="E11" s="3">
        <v>40088129768.291</v>
      </c>
      <c r="F11" s="3">
        <v>39657623068.682297</v>
      </c>
      <c r="G11" s="3">
        <v>79745752836.973297</v>
      </c>
      <c r="H11" s="2">
        <v>50.269924531585197</v>
      </c>
      <c r="I11" s="2">
        <v>49.730075468414697</v>
      </c>
      <c r="J11" s="2">
        <v>34.154515588465898</v>
      </c>
      <c r="K11" s="2">
        <v>33.7877300120943</v>
      </c>
      <c r="L11" s="2">
        <v>48.851507379546597</v>
      </c>
      <c r="M11" s="2">
        <v>48.326890707867697</v>
      </c>
      <c r="N11" s="2">
        <v>14.2019635833945</v>
      </c>
      <c r="O11" s="2">
        <v>13.4763439171676</v>
      </c>
      <c r="P11" s="23">
        <v>4810575572.1949196</v>
      </c>
      <c r="Q11" s="23">
        <v>4758914768.2418804</v>
      </c>
      <c r="R11" s="22">
        <v>6.0323909437902197</v>
      </c>
      <c r="S11" s="21">
        <f t="shared" si="0"/>
        <v>6.0323909437902327E-2</v>
      </c>
    </row>
    <row r="12" spans="1:19" x14ac:dyDescent="0.2">
      <c r="A12">
        <v>10</v>
      </c>
      <c r="B12" s="3">
        <v>2748063.5193039002</v>
      </c>
      <c r="C12" s="3">
        <v>205068163103.01001</v>
      </c>
      <c r="D12" s="3">
        <v>124958992792.82401</v>
      </c>
      <c r="E12" s="3">
        <v>59564986259.146202</v>
      </c>
      <c r="F12" s="3">
        <v>59038151385.299301</v>
      </c>
      <c r="G12" s="3">
        <v>118603137644.44501</v>
      </c>
      <c r="H12" s="2">
        <v>50.222099888885801</v>
      </c>
      <c r="I12" s="2">
        <v>49.7779001111141</v>
      </c>
      <c r="J12" s="2">
        <v>29.046432833762299</v>
      </c>
      <c r="K12" s="2">
        <v>28.7895256347729</v>
      </c>
      <c r="L12" s="2">
        <v>47.667626737278198</v>
      </c>
      <c r="M12" s="2">
        <v>47.246020527055002</v>
      </c>
      <c r="N12" s="2">
        <v>21.102001280361801</v>
      </c>
      <c r="O12" s="2">
        <v>20.0621815110851</v>
      </c>
      <c r="P12" s="23">
        <v>7147798351.0975399</v>
      </c>
      <c r="Q12" s="23">
        <v>7084578166.23592</v>
      </c>
      <c r="R12" s="22">
        <v>6.0266519866663</v>
      </c>
      <c r="S12" s="21">
        <f t="shared" si="0"/>
        <v>6.0266519866663239E-2</v>
      </c>
    </row>
    <row r="13" spans="1:19" x14ac:dyDescent="0.2">
      <c r="P13" s="31">
        <f>SUM(P3:P12)</f>
        <v>33872608839.94677</v>
      </c>
      <c r="Q13" s="31">
        <f>SUM(Q3:Q12)</f>
        <v>35313099736.045212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75D7-106D-0144-9A73-131DDC957899}">
  <dimension ref="A1:K11"/>
  <sheetViews>
    <sheetView topLeftCell="B1" zoomScale="120" zoomScaleNormal="120" workbookViewId="0">
      <selection activeCell="I27" sqref="I27"/>
    </sheetView>
  </sheetViews>
  <sheetFormatPr baseColWidth="10" defaultRowHeight="16" x14ac:dyDescent="0.2"/>
  <cols>
    <col min="2" max="2" width="13" bestFit="1" customWidth="1"/>
    <col min="3" max="3" width="11" bestFit="1" customWidth="1"/>
    <col min="4" max="4" width="13" bestFit="1" customWidth="1"/>
    <col min="5" max="7" width="17.6640625" bestFit="1" customWidth="1"/>
    <col min="8" max="9" width="16.6640625" bestFit="1" customWidth="1"/>
    <col min="10" max="11" width="11" bestFit="1" customWidth="1"/>
  </cols>
  <sheetData>
    <row r="1" spans="1:11" s="4" customFormat="1" ht="51" x14ac:dyDescent="0.2">
      <c r="A1" s="4" t="s">
        <v>0</v>
      </c>
      <c r="B1" s="4" t="s">
        <v>105</v>
      </c>
      <c r="C1" s="4" t="s">
        <v>106</v>
      </c>
      <c r="D1" s="4" t="s">
        <v>107</v>
      </c>
      <c r="E1" s="4" t="s">
        <v>19</v>
      </c>
      <c r="F1" s="4" t="s">
        <v>20</v>
      </c>
      <c r="G1" s="4" t="s">
        <v>6</v>
      </c>
      <c r="H1" s="4" t="s">
        <v>21</v>
      </c>
      <c r="I1" s="4" t="s">
        <v>22</v>
      </c>
      <c r="J1" s="4" t="s">
        <v>27</v>
      </c>
      <c r="K1" s="4" t="s">
        <v>28</v>
      </c>
    </row>
    <row r="2" spans="1:11" x14ac:dyDescent="0.2">
      <c r="A2">
        <v>1</v>
      </c>
      <c r="B2" s="3">
        <v>648947.35149137001</v>
      </c>
      <c r="C2" s="3">
        <v>6345</v>
      </c>
      <c r="D2" s="3">
        <v>896422.17372514296</v>
      </c>
      <c r="E2" s="3">
        <v>2844990137.0868301</v>
      </c>
      <c r="F2" s="3">
        <v>3851464144.91959</v>
      </c>
      <c r="G2" s="3">
        <v>6696454282.0064297</v>
      </c>
      <c r="H2" s="3">
        <v>341398816.45042002</v>
      </c>
      <c r="I2" s="3">
        <v>462175697.390351</v>
      </c>
      <c r="J2" s="2">
        <v>5.0128626953047801</v>
      </c>
      <c r="K2" s="2">
        <v>6.9871373046952101</v>
      </c>
    </row>
    <row r="3" spans="1:11" x14ac:dyDescent="0.2">
      <c r="A3">
        <v>2</v>
      </c>
      <c r="B3" s="3">
        <v>793545.70018893306</v>
      </c>
      <c r="C3" s="3">
        <v>7496</v>
      </c>
      <c r="D3" s="3">
        <v>1089817.1378904299</v>
      </c>
      <c r="E3" s="3">
        <v>4392000586.3037996</v>
      </c>
      <c r="F3" s="3">
        <v>5383705750.29778</v>
      </c>
      <c r="G3" s="3">
        <v>9775706336.6015797</v>
      </c>
      <c r="H3" s="3">
        <v>527040070.35645598</v>
      </c>
      <c r="I3" s="3">
        <v>646044690.03573298</v>
      </c>
      <c r="J3" s="2">
        <v>5.2307924074489298</v>
      </c>
      <c r="K3" s="2">
        <v>6.7692075925510604</v>
      </c>
    </row>
    <row r="4" spans="1:11" x14ac:dyDescent="0.2">
      <c r="A4">
        <v>3</v>
      </c>
      <c r="B4" s="3">
        <v>840794.53356600797</v>
      </c>
      <c r="C4" s="3">
        <v>7683</v>
      </c>
      <c r="D4" s="3">
        <v>1151454.4721846599</v>
      </c>
      <c r="E4" s="3">
        <v>5196718803.2028103</v>
      </c>
      <c r="F4" s="3">
        <v>6072687510.9037199</v>
      </c>
      <c r="G4" s="3">
        <v>11269406314.106501</v>
      </c>
      <c r="H4" s="3">
        <v>623606256.38433695</v>
      </c>
      <c r="I4" s="3">
        <v>728722501.30844605</v>
      </c>
      <c r="J4" s="2">
        <v>5.3344656143661799</v>
      </c>
      <c r="K4" s="2">
        <v>6.6655343856338103</v>
      </c>
    </row>
    <row r="5" spans="1:11" x14ac:dyDescent="0.2">
      <c r="A5">
        <v>4</v>
      </c>
      <c r="B5" s="3">
        <v>908975.75731956004</v>
      </c>
      <c r="C5" s="3">
        <v>7770</v>
      </c>
      <c r="D5" s="3">
        <v>1222612.4450381901</v>
      </c>
      <c r="E5" s="3">
        <v>6552979787.26719</v>
      </c>
      <c r="F5" s="3">
        <v>7479903141.3757095</v>
      </c>
      <c r="G5" s="3">
        <v>14032882928.6429</v>
      </c>
      <c r="H5" s="3">
        <v>786357574.47206199</v>
      </c>
      <c r="I5" s="3">
        <v>897588376.96508503</v>
      </c>
      <c r="J5" s="2">
        <v>5.4000172505011399</v>
      </c>
      <c r="K5" s="2">
        <v>6.5999827494988503</v>
      </c>
    </row>
    <row r="6" spans="1:11" x14ac:dyDescent="0.2">
      <c r="A6">
        <v>5</v>
      </c>
      <c r="B6" s="3">
        <v>1019996.63368056</v>
      </c>
      <c r="C6" s="3">
        <v>8235</v>
      </c>
      <c r="D6" s="3">
        <v>1386220.24466587</v>
      </c>
      <c r="E6" s="3">
        <v>8377555433.59727</v>
      </c>
      <c r="F6" s="3">
        <v>9109888693.9637508</v>
      </c>
      <c r="G6" s="3">
        <v>17487444127.561001</v>
      </c>
      <c r="H6" s="3">
        <v>1005306652.03167</v>
      </c>
      <c r="I6" s="3">
        <v>1093186643.27565</v>
      </c>
      <c r="J6" s="2">
        <v>5.4872910101990504</v>
      </c>
      <c r="K6" s="2">
        <v>6.5127089898009398</v>
      </c>
    </row>
    <row r="7" spans="1:11" x14ac:dyDescent="0.2">
      <c r="A7">
        <v>6</v>
      </c>
      <c r="B7" s="3">
        <v>1068484.42046699</v>
      </c>
      <c r="C7" s="3">
        <v>8090</v>
      </c>
      <c r="D7" s="3">
        <v>1457594.51263257</v>
      </c>
      <c r="E7" s="3">
        <v>9777427638.5063801</v>
      </c>
      <c r="F7" s="3">
        <v>10556697957.689301</v>
      </c>
      <c r="G7" s="3">
        <v>20334125596.195599</v>
      </c>
      <c r="H7" s="3">
        <v>1173291316.62076</v>
      </c>
      <c r="I7" s="3">
        <v>1266803754.9227099</v>
      </c>
      <c r="J7" s="2">
        <v>5.5215611712461801</v>
      </c>
      <c r="K7" s="2">
        <v>6.4784388287538102</v>
      </c>
    </row>
    <row r="8" spans="1:11" x14ac:dyDescent="0.2">
      <c r="A8">
        <v>7</v>
      </c>
      <c r="B8" s="3">
        <v>1067983.3396169899</v>
      </c>
      <c r="C8" s="3">
        <v>8139</v>
      </c>
      <c r="D8" s="3">
        <v>1451455.00675021</v>
      </c>
      <c r="E8" s="3">
        <v>10970462209.058901</v>
      </c>
      <c r="F8" s="3">
        <v>11611006070.932699</v>
      </c>
      <c r="G8" s="3">
        <v>22581468279.991699</v>
      </c>
      <c r="H8" s="3">
        <v>1316455465.08707</v>
      </c>
      <c r="I8" s="3">
        <v>1393320728.51193</v>
      </c>
      <c r="J8" s="2">
        <v>5.60474448237259</v>
      </c>
      <c r="K8" s="2">
        <v>6.3952555176274002</v>
      </c>
    </row>
    <row r="9" spans="1:11" x14ac:dyDescent="0.2">
      <c r="A9">
        <v>8</v>
      </c>
      <c r="B9" s="3">
        <v>1082721.2222724201</v>
      </c>
      <c r="C9" s="3">
        <v>7994</v>
      </c>
      <c r="D9" s="3">
        <v>1455780.8477189201</v>
      </c>
      <c r="E9" s="3">
        <v>13004168528.8622</v>
      </c>
      <c r="F9" s="3">
        <v>13682530316.6873</v>
      </c>
      <c r="G9" s="3">
        <v>26686698845.549599</v>
      </c>
      <c r="H9" s="3">
        <v>1560500223.46346</v>
      </c>
      <c r="I9" s="3">
        <v>1641903638.00248</v>
      </c>
      <c r="J9" s="2">
        <v>5.6361964344937903</v>
      </c>
      <c r="K9" s="2">
        <v>6.3638035655062</v>
      </c>
    </row>
    <row r="10" spans="1:11" x14ac:dyDescent="0.2">
      <c r="A10">
        <v>9</v>
      </c>
      <c r="B10" s="3">
        <v>1105513.4384469399</v>
      </c>
      <c r="C10" s="3">
        <v>7973</v>
      </c>
      <c r="D10" s="3">
        <v>1502376.64967517</v>
      </c>
      <c r="E10" s="3">
        <v>16290003517.1611</v>
      </c>
      <c r="F10" s="3">
        <v>16924231467.9618</v>
      </c>
      <c r="G10" s="3">
        <v>33214234985.122898</v>
      </c>
      <c r="H10" s="3">
        <v>1954800422.05933</v>
      </c>
      <c r="I10" s="3">
        <v>2030907776.1554101</v>
      </c>
      <c r="J10" s="2">
        <v>5.7100827530492904</v>
      </c>
      <c r="K10" s="2">
        <v>6.2899172469506999</v>
      </c>
    </row>
    <row r="11" spans="1:11" x14ac:dyDescent="0.2">
      <c r="A11">
        <v>10</v>
      </c>
      <c r="B11" s="3">
        <v>1036116.8248895</v>
      </c>
      <c r="C11" s="3">
        <v>7721</v>
      </c>
      <c r="D11" s="3">
        <v>1395352.09435702</v>
      </c>
      <c r="E11" s="3">
        <v>23569478323.445999</v>
      </c>
      <c r="F11" s="3">
        <v>24969615274.890202</v>
      </c>
      <c r="G11" s="3">
        <v>48539093598.336197</v>
      </c>
      <c r="H11" s="3">
        <v>2828337398.81352</v>
      </c>
      <c r="I11" s="3">
        <v>2996353832.9868302</v>
      </c>
      <c r="J11" s="2">
        <v>5.7933136419309097</v>
      </c>
      <c r="K11" s="2">
        <v>6.2066863580690796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D776-7F29-1443-8F72-00AEDE6040D3}">
  <sheetPr>
    <tabColor rgb="FFFF0000"/>
  </sheetPr>
  <dimension ref="A1:M20"/>
  <sheetViews>
    <sheetView zoomScale="130" zoomScaleNormal="130" workbookViewId="0">
      <selection activeCell="E23" sqref="E23"/>
    </sheetView>
  </sheetViews>
  <sheetFormatPr baseColWidth="10" defaultRowHeight="16" x14ac:dyDescent="0.2"/>
  <cols>
    <col min="1" max="1" width="12.1640625" bestFit="1" customWidth="1"/>
    <col min="2" max="2" width="13" style="3" bestFit="1" customWidth="1"/>
    <col min="3" max="4" width="17.6640625" style="3" bestFit="1" customWidth="1"/>
    <col min="5" max="5" width="18.6640625" style="3" bestFit="1" customWidth="1"/>
    <col min="6" max="7" width="16.6640625" style="3" bestFit="1" customWidth="1"/>
    <col min="8" max="8" width="17.5" style="3" customWidth="1"/>
    <col min="9" max="9" width="15.83203125" style="3" customWidth="1"/>
    <col min="10" max="10" width="17.1640625" style="3" customWidth="1"/>
    <col min="11" max="11" width="15.1640625" style="3" customWidth="1"/>
    <col min="12" max="12" width="18.33203125" style="3" customWidth="1"/>
    <col min="13" max="13" width="15" style="3" customWidth="1"/>
  </cols>
  <sheetData>
    <row r="1" spans="1:13" s="4" customFormat="1" ht="85" x14ac:dyDescent="0.2">
      <c r="B1" s="5" t="s">
        <v>29</v>
      </c>
      <c r="C1" s="5"/>
      <c r="D1" s="5"/>
      <c r="E1" s="5" t="s">
        <v>30</v>
      </c>
      <c r="F1" s="5" t="s">
        <v>31</v>
      </c>
      <c r="G1" s="5" t="s">
        <v>32</v>
      </c>
      <c r="H1" s="5" t="s">
        <v>33</v>
      </c>
      <c r="I1" s="5"/>
      <c r="J1" s="5" t="s">
        <v>34</v>
      </c>
      <c r="K1" s="5"/>
      <c r="L1" s="5" t="s">
        <v>35</v>
      </c>
      <c r="M1" s="5"/>
    </row>
    <row r="2" spans="1:13" s="4" customFormat="1" ht="51" x14ac:dyDescent="0.2">
      <c r="A2" s="4" t="s">
        <v>0</v>
      </c>
      <c r="B2" s="5" t="s">
        <v>1</v>
      </c>
      <c r="C2" s="5" t="s">
        <v>19</v>
      </c>
      <c r="D2" s="5" t="s">
        <v>20</v>
      </c>
      <c r="E2" s="5" t="s">
        <v>6</v>
      </c>
      <c r="F2" s="5" t="s">
        <v>21</v>
      </c>
      <c r="G2" s="5" t="s">
        <v>22</v>
      </c>
      <c r="H2" s="7" t="s">
        <v>23</v>
      </c>
      <c r="I2" s="7" t="s">
        <v>24</v>
      </c>
      <c r="J2" s="5" t="s">
        <v>25</v>
      </c>
      <c r="K2" s="5" t="s">
        <v>26</v>
      </c>
      <c r="L2" s="7" t="s">
        <v>27</v>
      </c>
      <c r="M2" s="7" t="s">
        <v>28</v>
      </c>
    </row>
    <row r="3" spans="1:13" x14ac:dyDescent="0.2">
      <c r="A3">
        <v>1</v>
      </c>
      <c r="B3" s="3">
        <v>2747642.50515944</v>
      </c>
      <c r="C3" s="3">
        <v>12730887016.797501</v>
      </c>
      <c r="D3" s="3">
        <v>16287403643.337299</v>
      </c>
      <c r="E3" s="3">
        <v>29018290660.1348</v>
      </c>
      <c r="F3" s="3">
        <v>1527706442.0157001</v>
      </c>
      <c r="G3" s="3">
        <v>1954488437.20047</v>
      </c>
      <c r="H3" s="3">
        <v>14197591.3569442</v>
      </c>
      <c r="I3" s="3">
        <v>18774118.704969</v>
      </c>
      <c r="J3" s="1">
        <v>5.2646327790577203</v>
      </c>
      <c r="K3" s="1">
        <v>6.7353672209422699</v>
      </c>
      <c r="L3" s="1">
        <v>5.1671901749534204</v>
      </c>
      <c r="M3" s="1">
        <v>6.8328098250465699</v>
      </c>
    </row>
    <row r="4" spans="1:13" x14ac:dyDescent="0.2">
      <c r="A4">
        <v>2</v>
      </c>
      <c r="B4" s="3">
        <v>2748295.6540946802</v>
      </c>
      <c r="C4" s="3">
        <v>16171881744.9347</v>
      </c>
      <c r="D4" s="3">
        <v>18893257154.780602</v>
      </c>
      <c r="E4" s="3">
        <v>35065138899.715302</v>
      </c>
      <c r="F4" s="3">
        <v>1940625809.3921599</v>
      </c>
      <c r="G4" s="3">
        <v>2267190858.5736699</v>
      </c>
      <c r="H4" s="3">
        <v>14946499.8461629</v>
      </c>
      <c r="I4" s="3">
        <v>18033048.002973098</v>
      </c>
      <c r="J4" s="1">
        <v>5.5343451367532399</v>
      </c>
      <c r="K4" s="1">
        <v>6.4656548632467503</v>
      </c>
      <c r="L4" s="1">
        <v>5.4384614056694396</v>
      </c>
      <c r="M4" s="1">
        <v>6.5615385943305498</v>
      </c>
    </row>
    <row r="5" spans="1:13" x14ac:dyDescent="0.2">
      <c r="A5">
        <v>3</v>
      </c>
      <c r="B5" s="3">
        <v>2747874.69444041</v>
      </c>
      <c r="C5" s="3">
        <v>18492395560.589802</v>
      </c>
      <c r="D5" s="3">
        <v>20558976669.909401</v>
      </c>
      <c r="E5" s="3">
        <v>39051372230.499298</v>
      </c>
      <c r="F5" s="3">
        <v>2219087467.2707801</v>
      </c>
      <c r="G5" s="3">
        <v>2467077200.3891301</v>
      </c>
      <c r="H5" s="3">
        <v>15329533.4991266</v>
      </c>
      <c r="I5" s="3">
        <v>17644962.834158201</v>
      </c>
      <c r="J5" s="1">
        <v>5.6824826901669301</v>
      </c>
      <c r="K5" s="1">
        <v>6.3175173098330504</v>
      </c>
      <c r="L5" s="1">
        <v>5.5786872415040696</v>
      </c>
      <c r="M5" s="1">
        <v>6.4213127584959198</v>
      </c>
    </row>
    <row r="6" spans="1:13" x14ac:dyDescent="0.2">
      <c r="A6">
        <v>4</v>
      </c>
      <c r="B6" s="3">
        <v>2747979.4784429399</v>
      </c>
      <c r="C6" s="3">
        <v>21174220742.446899</v>
      </c>
      <c r="D6" s="3">
        <v>23060388456.8377</v>
      </c>
      <c r="E6" s="3">
        <v>44234609199.284698</v>
      </c>
      <c r="F6" s="3">
        <v>2540906489.0936298</v>
      </c>
      <c r="G6" s="3">
        <v>2767246614.8205199</v>
      </c>
      <c r="H6" s="3">
        <v>15461377.065963</v>
      </c>
      <c r="I6" s="3">
        <v>17514376.675352201</v>
      </c>
      <c r="J6" s="1">
        <v>5.7441594604044202</v>
      </c>
      <c r="K6" s="1">
        <v>6.2558405395955798</v>
      </c>
      <c r="L6" s="1">
        <v>5.6264528855665796</v>
      </c>
      <c r="M6" s="1">
        <v>6.3735471144334097</v>
      </c>
    </row>
    <row r="7" spans="1:13" x14ac:dyDescent="0.2">
      <c r="A7">
        <v>5</v>
      </c>
      <c r="B7" s="3">
        <v>2747628.8515828899</v>
      </c>
      <c r="C7" s="3">
        <v>23802239836.017101</v>
      </c>
      <c r="D7" s="3">
        <v>25029174922.970699</v>
      </c>
      <c r="E7" s="3">
        <v>48831414758.9879</v>
      </c>
      <c r="F7" s="3">
        <v>2856268780.3220501</v>
      </c>
      <c r="G7" s="3">
        <v>3003500990.7564902</v>
      </c>
      <c r="H7" s="3">
        <v>15696687.713298401</v>
      </c>
      <c r="I7" s="3">
        <v>17274858.5056962</v>
      </c>
      <c r="J7" s="1">
        <v>5.8492443735645203</v>
      </c>
      <c r="K7" s="1">
        <v>6.1507556264354699</v>
      </c>
      <c r="L7" s="1">
        <v>5.7128122323565202</v>
      </c>
      <c r="M7" s="1">
        <v>6.28718776764347</v>
      </c>
    </row>
    <row r="8" spans="1:13" x14ac:dyDescent="0.2">
      <c r="A8">
        <v>6</v>
      </c>
      <c r="B8" s="3">
        <v>2748336.9317767601</v>
      </c>
      <c r="C8" s="3">
        <v>26514380477.310398</v>
      </c>
      <c r="D8" s="3">
        <v>27502940702.588501</v>
      </c>
      <c r="E8" s="3">
        <v>54017321179.898903</v>
      </c>
      <c r="F8" s="3">
        <v>3181725657.2772498</v>
      </c>
      <c r="G8" s="3">
        <v>3300352884.3106198</v>
      </c>
      <c r="H8" s="3">
        <v>15788163.988909399</v>
      </c>
      <c r="I8" s="3">
        <v>17191879.192411698</v>
      </c>
      <c r="J8" s="1">
        <v>5.8901951962424297</v>
      </c>
      <c r="K8" s="1">
        <v>6.1098048037575703</v>
      </c>
      <c r="L8" s="1">
        <v>5.7446246151131799</v>
      </c>
      <c r="M8" s="1">
        <v>6.2553753848867997</v>
      </c>
    </row>
    <row r="9" spans="1:13" x14ac:dyDescent="0.2">
      <c r="A9">
        <v>7</v>
      </c>
      <c r="B9" s="3">
        <v>2747846.3569293302</v>
      </c>
      <c r="C9" s="3">
        <v>29742875498.603001</v>
      </c>
      <c r="D9" s="3">
        <v>30134718319.903301</v>
      </c>
      <c r="E9" s="3">
        <v>59877593818.506302</v>
      </c>
      <c r="F9" s="3">
        <v>3569145059.8323498</v>
      </c>
      <c r="G9" s="3">
        <v>3616166198.3884001</v>
      </c>
      <c r="H9" s="3">
        <v>16008851.3175279</v>
      </c>
      <c r="I9" s="3">
        <v>16965304.965624001</v>
      </c>
      <c r="J9" s="1">
        <v>5.9607356144782804</v>
      </c>
      <c r="K9" s="1">
        <v>6.0392643855217099</v>
      </c>
      <c r="L9" s="1">
        <v>5.8259630408948704</v>
      </c>
      <c r="M9" s="1">
        <v>6.1740369591051198</v>
      </c>
    </row>
    <row r="10" spans="1:13" x14ac:dyDescent="0.2">
      <c r="A10">
        <v>8</v>
      </c>
      <c r="B10" s="3">
        <v>2747984.4327531499</v>
      </c>
      <c r="C10" s="3">
        <v>33989743428.753101</v>
      </c>
      <c r="D10" s="3">
        <v>34113196809.400902</v>
      </c>
      <c r="E10" s="3">
        <v>68102940238.154099</v>
      </c>
      <c r="F10" s="3">
        <v>4078769211.4503798</v>
      </c>
      <c r="G10" s="3">
        <v>4093583617.1281099</v>
      </c>
      <c r="H10" s="3">
        <v>16123641.023296401</v>
      </c>
      <c r="I10" s="3">
        <v>16852172.1697414</v>
      </c>
      <c r="J10" s="1">
        <v>5.9891235197585297</v>
      </c>
      <c r="K10" s="1">
        <v>6.0108764802414703</v>
      </c>
      <c r="L10" s="1">
        <v>5.8674426358166896</v>
      </c>
      <c r="M10" s="1">
        <v>6.13255736418329</v>
      </c>
    </row>
    <row r="11" spans="1:13" x14ac:dyDescent="0.2">
      <c r="A11">
        <v>9</v>
      </c>
      <c r="B11" s="3">
        <v>2748042.5822946099</v>
      </c>
      <c r="C11" s="3">
        <v>40088129768.291</v>
      </c>
      <c r="D11" s="3">
        <v>39657623068.682297</v>
      </c>
      <c r="E11" s="3">
        <v>79745752836.973297</v>
      </c>
      <c r="F11" s="3">
        <v>4810575572.1949196</v>
      </c>
      <c r="G11" s="3">
        <v>4758914768.2418804</v>
      </c>
      <c r="H11" s="3">
        <v>16270241.273256199</v>
      </c>
      <c r="I11" s="3">
        <v>16706269.714278899</v>
      </c>
      <c r="J11" s="1">
        <v>6.0323909437902303</v>
      </c>
      <c r="K11" s="1">
        <v>5.9676090562097599</v>
      </c>
      <c r="L11" s="1">
        <v>5.9206656323609996</v>
      </c>
      <c r="M11" s="1">
        <v>6.0793343676389702</v>
      </c>
    </row>
    <row r="12" spans="1:13" x14ac:dyDescent="0.2">
      <c r="A12">
        <v>10</v>
      </c>
      <c r="B12" s="3">
        <v>2748063.5193039002</v>
      </c>
      <c r="C12" s="3">
        <v>59564986259.146202</v>
      </c>
      <c r="D12" s="3">
        <v>59038151385.299301</v>
      </c>
      <c r="E12" s="3">
        <v>118603137644.44501</v>
      </c>
      <c r="F12" s="3">
        <v>7147798351.0975399</v>
      </c>
      <c r="G12" s="3">
        <v>7084578166.2359104</v>
      </c>
      <c r="H12" s="3">
        <v>16482037.8189085</v>
      </c>
      <c r="I12" s="3">
        <v>16494724.412738301</v>
      </c>
      <c r="J12" s="1">
        <v>6.0266519866663</v>
      </c>
      <c r="K12" s="1">
        <v>5.9733480133336903</v>
      </c>
      <c r="L12" s="1">
        <v>5.9976917211445997</v>
      </c>
      <c r="M12" s="1">
        <v>6.0023082788553896</v>
      </c>
    </row>
    <row r="13" spans="1:13" x14ac:dyDescent="0.2">
      <c r="A13" t="s">
        <v>39</v>
      </c>
      <c r="B13" s="3">
        <f t="shared" ref="B13:G13" si="0">SUM(B3:B12)</f>
        <v>27479695.00677811</v>
      </c>
      <c r="C13" s="3">
        <f t="shared" si="0"/>
        <v>282271740332.88971</v>
      </c>
      <c r="D13" s="3">
        <f t="shared" si="0"/>
        <v>294275831133.71002</v>
      </c>
      <c r="E13" s="3">
        <f t="shared" si="0"/>
        <v>576547571466.59961</v>
      </c>
      <c r="F13" s="3">
        <f t="shared" si="0"/>
        <v>33872608839.946754</v>
      </c>
      <c r="G13" s="3">
        <f t="shared" si="0"/>
        <v>35313099736.045197</v>
      </c>
    </row>
    <row r="14" spans="1:13" x14ac:dyDescent="0.2">
      <c r="A14" t="s">
        <v>40</v>
      </c>
      <c r="C14" s="3">
        <f>C13*12</f>
        <v>3387260883994.6768</v>
      </c>
      <c r="D14" s="3">
        <f>D13*12</f>
        <v>3531309973604.5205</v>
      </c>
      <c r="E14" s="3">
        <f>E13*12</f>
        <v>6918570857599.1953</v>
      </c>
      <c r="F14" s="3">
        <f>F13*12</f>
        <v>406471306079.36108</v>
      </c>
      <c r="G14" s="3">
        <f>G13*12</f>
        <v>423757196832.54236</v>
      </c>
      <c r="J14" s="8">
        <f>F3/E3</f>
        <v>5.2646327790577152E-2</v>
      </c>
      <c r="L14" s="9">
        <f>H3/B3</f>
        <v>5.1671901749533982</v>
      </c>
    </row>
    <row r="15" spans="1:13" x14ac:dyDescent="0.2">
      <c r="A15" t="s">
        <v>41</v>
      </c>
      <c r="C15" s="3">
        <f>C14/1000000000</f>
        <v>3387.2608839946765</v>
      </c>
      <c r="D15" s="3">
        <f>D14/1000000000</f>
        <v>3531.3099736045206</v>
      </c>
      <c r="E15" s="3">
        <f>E14/1000000000</f>
        <v>6918.5708575991957</v>
      </c>
      <c r="F15" s="3">
        <f>F14/1000000000</f>
        <v>406.47130607936106</v>
      </c>
      <c r="G15" s="3">
        <f>G14/1000000000</f>
        <v>423.75719683254238</v>
      </c>
    </row>
    <row r="17" spans="6:9" x14ac:dyDescent="0.2">
      <c r="F17" s="3">
        <f>C3*0.12</f>
        <v>1527706442.0157001</v>
      </c>
      <c r="G17" s="3">
        <f>D3*0.12</f>
        <v>1954488437.2004759</v>
      </c>
    </row>
    <row r="18" spans="6:9" x14ac:dyDescent="0.2">
      <c r="I18" s="3" t="s">
        <v>36</v>
      </c>
    </row>
    <row r="19" spans="6:9" x14ac:dyDescent="0.2">
      <c r="I19" s="3" t="s">
        <v>37</v>
      </c>
    </row>
    <row r="20" spans="6:9" x14ac:dyDescent="0.2">
      <c r="I20" s="3" t="s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3D2E-C48E-D944-8ADC-38C7EC6C58A8}">
  <dimension ref="A1:C20"/>
  <sheetViews>
    <sheetView tabSelected="1" workbookViewId="0">
      <selection activeCell="B27" sqref="B27"/>
    </sheetView>
  </sheetViews>
  <sheetFormatPr baseColWidth="10" defaultRowHeight="16" x14ac:dyDescent="0.2"/>
  <cols>
    <col min="1" max="1" width="13.33203125" style="39" customWidth="1"/>
    <col min="2" max="2" width="92" style="39" customWidth="1"/>
    <col min="3" max="16384" width="10.83203125" style="39"/>
  </cols>
  <sheetData>
    <row r="1" spans="1:2" x14ac:dyDescent="0.2">
      <c r="A1" s="38"/>
    </row>
    <row r="2" spans="1:2" ht="19" x14ac:dyDescent="0.25">
      <c r="B2" s="40" t="s">
        <v>122</v>
      </c>
    </row>
    <row r="3" spans="1:2" x14ac:dyDescent="0.2">
      <c r="B3" s="38" t="s">
        <v>123</v>
      </c>
    </row>
    <row r="4" spans="1:2" x14ac:dyDescent="0.2">
      <c r="B4" s="38" t="s">
        <v>124</v>
      </c>
    </row>
    <row r="5" spans="1:2" x14ac:dyDescent="0.2">
      <c r="B5" s="38" t="s">
        <v>125</v>
      </c>
    </row>
    <row r="6" spans="1:2" x14ac:dyDescent="0.2">
      <c r="B6" s="38" t="s">
        <v>126</v>
      </c>
    </row>
    <row r="7" spans="1:2" x14ac:dyDescent="0.2">
      <c r="B7" s="38" t="s">
        <v>127</v>
      </c>
    </row>
    <row r="8" spans="1:2" x14ac:dyDescent="0.2">
      <c r="B8" s="38"/>
    </row>
    <row r="9" spans="1:2" x14ac:dyDescent="0.2">
      <c r="B9" s="38" t="s">
        <v>128</v>
      </c>
    </row>
    <row r="10" spans="1:2" x14ac:dyDescent="0.2">
      <c r="B10" s="38" t="s">
        <v>129</v>
      </c>
    </row>
    <row r="11" spans="1:2" x14ac:dyDescent="0.2">
      <c r="B11" s="38" t="s">
        <v>130</v>
      </c>
    </row>
    <row r="12" spans="1:2" x14ac:dyDescent="0.2">
      <c r="B12" s="38" t="s">
        <v>131</v>
      </c>
    </row>
    <row r="13" spans="1:2" x14ac:dyDescent="0.2">
      <c r="A13" s="38"/>
    </row>
    <row r="14" spans="1:2" x14ac:dyDescent="0.2">
      <c r="A14" s="38"/>
    </row>
    <row r="15" spans="1:2" x14ac:dyDescent="0.2">
      <c r="A15" s="38"/>
    </row>
    <row r="16" spans="1:2" x14ac:dyDescent="0.2">
      <c r="A16" s="38"/>
    </row>
    <row r="17" spans="1:3" x14ac:dyDescent="0.2">
      <c r="A17" t="s">
        <v>1102</v>
      </c>
      <c r="B17" t="s">
        <v>110</v>
      </c>
      <c r="C17" t="s">
        <v>1103</v>
      </c>
    </row>
    <row r="18" spans="1:3" x14ac:dyDescent="0.2">
      <c r="A18" t="s">
        <v>1104</v>
      </c>
      <c r="B18" t="s">
        <v>111</v>
      </c>
      <c r="C18" t="s">
        <v>1103</v>
      </c>
    </row>
    <row r="19" spans="1:3" x14ac:dyDescent="0.2">
      <c r="A19" t="s">
        <v>1105</v>
      </c>
      <c r="B19" t="s">
        <v>112</v>
      </c>
      <c r="C19" t="s">
        <v>1103</v>
      </c>
    </row>
    <row r="20" spans="1:3" x14ac:dyDescent="0.2">
      <c r="A20" t="s">
        <v>1106</v>
      </c>
      <c r="B20" t="s">
        <v>113</v>
      </c>
      <c r="C20" t="s">
        <v>1103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7508-678A-C74E-82F2-8CE47B35CA0B}">
  <dimension ref="A1:B612"/>
  <sheetViews>
    <sheetView topLeftCell="A286" zoomScale="120" zoomScaleNormal="120" workbookViewId="0">
      <selection activeCell="F309" sqref="F309"/>
    </sheetView>
  </sheetViews>
  <sheetFormatPr baseColWidth="10" defaultRowHeight="16" x14ac:dyDescent="0.2"/>
  <sheetData>
    <row r="1" spans="1:2" x14ac:dyDescent="0.2">
      <c r="A1" t="s">
        <v>1100</v>
      </c>
      <c r="B1" t="s">
        <v>1101</v>
      </c>
    </row>
    <row r="2" spans="1:2" x14ac:dyDescent="0.2">
      <c r="A2" t="s">
        <v>132</v>
      </c>
      <c r="B2" t="s">
        <v>743</v>
      </c>
    </row>
    <row r="3" spans="1:2" x14ac:dyDescent="0.2">
      <c r="A3" t="s">
        <v>133</v>
      </c>
      <c r="B3" t="s">
        <v>744</v>
      </c>
    </row>
    <row r="4" spans="1:2" x14ac:dyDescent="0.2">
      <c r="A4" t="s">
        <v>134</v>
      </c>
      <c r="B4" t="s">
        <v>745</v>
      </c>
    </row>
    <row r="5" spans="1:2" x14ac:dyDescent="0.2">
      <c r="A5" t="s">
        <v>135</v>
      </c>
      <c r="B5" t="s">
        <v>746</v>
      </c>
    </row>
    <row r="6" spans="1:2" x14ac:dyDescent="0.2">
      <c r="A6" t="s">
        <v>136</v>
      </c>
      <c r="B6" t="s">
        <v>747</v>
      </c>
    </row>
    <row r="7" spans="1:2" x14ac:dyDescent="0.2">
      <c r="A7" t="s">
        <v>137</v>
      </c>
      <c r="B7" t="s">
        <v>748</v>
      </c>
    </row>
    <row r="8" spans="1:2" x14ac:dyDescent="0.2">
      <c r="A8" t="s">
        <v>138</v>
      </c>
      <c r="B8" t="s">
        <v>749</v>
      </c>
    </row>
    <row r="9" spans="1:2" x14ac:dyDescent="0.2">
      <c r="A9" t="s">
        <v>139</v>
      </c>
      <c r="B9" t="s">
        <v>750</v>
      </c>
    </row>
    <row r="10" spans="1:2" x14ac:dyDescent="0.2">
      <c r="A10" t="s">
        <v>140</v>
      </c>
      <c r="B10" t="s">
        <v>751</v>
      </c>
    </row>
    <row r="11" spans="1:2" x14ac:dyDescent="0.2">
      <c r="A11" t="s">
        <v>141</v>
      </c>
      <c r="B11" t="s">
        <v>752</v>
      </c>
    </row>
    <row r="12" spans="1:2" x14ac:dyDescent="0.2">
      <c r="A12" t="s">
        <v>142</v>
      </c>
      <c r="B12" t="s">
        <v>753</v>
      </c>
    </row>
    <row r="13" spans="1:2" x14ac:dyDescent="0.2">
      <c r="A13" t="s">
        <v>143</v>
      </c>
      <c r="B13" t="s">
        <v>754</v>
      </c>
    </row>
    <row r="14" spans="1:2" x14ac:dyDescent="0.2">
      <c r="A14" t="s">
        <v>144</v>
      </c>
      <c r="B14" t="s">
        <v>755</v>
      </c>
    </row>
    <row r="15" spans="1:2" x14ac:dyDescent="0.2">
      <c r="A15" t="s">
        <v>145</v>
      </c>
      <c r="B15" t="s">
        <v>756</v>
      </c>
    </row>
    <row r="16" spans="1:2" x14ac:dyDescent="0.2">
      <c r="A16" t="s">
        <v>146</v>
      </c>
      <c r="B16" t="s">
        <v>757</v>
      </c>
    </row>
    <row r="17" spans="1:2" x14ac:dyDescent="0.2">
      <c r="A17" t="s">
        <v>147</v>
      </c>
      <c r="B17" t="s">
        <v>758</v>
      </c>
    </row>
    <row r="18" spans="1:2" x14ac:dyDescent="0.2">
      <c r="A18" t="s">
        <v>148</v>
      </c>
      <c r="B18" t="s">
        <v>759</v>
      </c>
    </row>
    <row r="19" spans="1:2" x14ac:dyDescent="0.2">
      <c r="A19" t="s">
        <v>149</v>
      </c>
      <c r="B19" t="s">
        <v>760</v>
      </c>
    </row>
    <row r="20" spans="1:2" x14ac:dyDescent="0.2">
      <c r="A20" t="s">
        <v>150</v>
      </c>
      <c r="B20" t="s">
        <v>761</v>
      </c>
    </row>
    <row r="21" spans="1:2" x14ac:dyDescent="0.2">
      <c r="A21" t="s">
        <v>151</v>
      </c>
      <c r="B21" t="s">
        <v>762</v>
      </c>
    </row>
    <row r="22" spans="1:2" x14ac:dyDescent="0.2">
      <c r="A22" t="s">
        <v>152</v>
      </c>
      <c r="B22" t="s">
        <v>763</v>
      </c>
    </row>
    <row r="23" spans="1:2" x14ac:dyDescent="0.2">
      <c r="A23" t="s">
        <v>153</v>
      </c>
      <c r="B23" t="s">
        <v>764</v>
      </c>
    </row>
    <row r="24" spans="1:2" x14ac:dyDescent="0.2">
      <c r="A24" t="s">
        <v>154</v>
      </c>
      <c r="B24" t="s">
        <v>765</v>
      </c>
    </row>
    <row r="25" spans="1:2" x14ac:dyDescent="0.2">
      <c r="A25" t="s">
        <v>155</v>
      </c>
      <c r="B25" t="s">
        <v>766</v>
      </c>
    </row>
    <row r="26" spans="1:2" x14ac:dyDescent="0.2">
      <c r="A26" t="s">
        <v>156</v>
      </c>
      <c r="B26" t="s">
        <v>767</v>
      </c>
    </row>
    <row r="27" spans="1:2" x14ac:dyDescent="0.2">
      <c r="A27" t="s">
        <v>157</v>
      </c>
      <c r="B27" t="s">
        <v>768</v>
      </c>
    </row>
    <row r="28" spans="1:2" x14ac:dyDescent="0.2">
      <c r="A28" t="s">
        <v>158</v>
      </c>
      <c r="B28" t="s">
        <v>769</v>
      </c>
    </row>
    <row r="29" spans="1:2" x14ac:dyDescent="0.2">
      <c r="A29" t="s">
        <v>159</v>
      </c>
      <c r="B29" t="s">
        <v>770</v>
      </c>
    </row>
    <row r="30" spans="1:2" x14ac:dyDescent="0.2">
      <c r="A30" t="s">
        <v>160</v>
      </c>
      <c r="B30" t="s">
        <v>771</v>
      </c>
    </row>
    <row r="31" spans="1:2" x14ac:dyDescent="0.2">
      <c r="A31" t="s">
        <v>161</v>
      </c>
      <c r="B31" t="s">
        <v>772</v>
      </c>
    </row>
    <row r="32" spans="1:2" x14ac:dyDescent="0.2">
      <c r="A32" t="s">
        <v>162</v>
      </c>
      <c r="B32" t="s">
        <v>773</v>
      </c>
    </row>
    <row r="33" spans="1:2" x14ac:dyDescent="0.2">
      <c r="A33" t="s">
        <v>163</v>
      </c>
      <c r="B33" t="s">
        <v>774</v>
      </c>
    </row>
    <row r="34" spans="1:2" x14ac:dyDescent="0.2">
      <c r="A34" t="s">
        <v>164</v>
      </c>
      <c r="B34" t="s">
        <v>775</v>
      </c>
    </row>
    <row r="35" spans="1:2" x14ac:dyDescent="0.2">
      <c r="A35" t="s">
        <v>165</v>
      </c>
      <c r="B35" t="s">
        <v>776</v>
      </c>
    </row>
    <row r="36" spans="1:2" x14ac:dyDescent="0.2">
      <c r="A36" t="s">
        <v>166</v>
      </c>
      <c r="B36" t="s">
        <v>777</v>
      </c>
    </row>
    <row r="37" spans="1:2" x14ac:dyDescent="0.2">
      <c r="A37" t="s">
        <v>167</v>
      </c>
      <c r="B37" t="s">
        <v>778</v>
      </c>
    </row>
    <row r="38" spans="1:2" x14ac:dyDescent="0.2">
      <c r="A38" t="s">
        <v>168</v>
      </c>
      <c r="B38" t="s">
        <v>779</v>
      </c>
    </row>
    <row r="39" spans="1:2" x14ac:dyDescent="0.2">
      <c r="A39" t="s">
        <v>169</v>
      </c>
      <c r="B39" t="s">
        <v>780</v>
      </c>
    </row>
    <row r="40" spans="1:2" x14ac:dyDescent="0.2">
      <c r="A40" t="s">
        <v>170</v>
      </c>
      <c r="B40" t="s">
        <v>781</v>
      </c>
    </row>
    <row r="41" spans="1:2" x14ac:dyDescent="0.2">
      <c r="A41" t="s">
        <v>171</v>
      </c>
      <c r="B41" t="s">
        <v>782</v>
      </c>
    </row>
    <row r="42" spans="1:2" x14ac:dyDescent="0.2">
      <c r="A42" t="s">
        <v>172</v>
      </c>
      <c r="B42" t="s">
        <v>783</v>
      </c>
    </row>
    <row r="43" spans="1:2" x14ac:dyDescent="0.2">
      <c r="A43" t="s">
        <v>173</v>
      </c>
      <c r="B43" t="s">
        <v>784</v>
      </c>
    </row>
    <row r="44" spans="1:2" x14ac:dyDescent="0.2">
      <c r="A44" t="s">
        <v>174</v>
      </c>
      <c r="B44" t="s">
        <v>785</v>
      </c>
    </row>
    <row r="45" spans="1:2" x14ac:dyDescent="0.2">
      <c r="A45" t="s">
        <v>175</v>
      </c>
      <c r="B45" t="s">
        <v>786</v>
      </c>
    </row>
    <row r="46" spans="1:2" x14ac:dyDescent="0.2">
      <c r="A46" t="s">
        <v>176</v>
      </c>
      <c r="B46" t="s">
        <v>787</v>
      </c>
    </row>
    <row r="47" spans="1:2" x14ac:dyDescent="0.2">
      <c r="A47" t="s">
        <v>177</v>
      </c>
      <c r="B47" t="s">
        <v>788</v>
      </c>
    </row>
    <row r="48" spans="1:2" x14ac:dyDescent="0.2">
      <c r="A48" t="s">
        <v>178</v>
      </c>
      <c r="B48" t="s">
        <v>789</v>
      </c>
    </row>
    <row r="49" spans="1:2" x14ac:dyDescent="0.2">
      <c r="A49" t="s">
        <v>179</v>
      </c>
      <c r="B49" t="s">
        <v>790</v>
      </c>
    </row>
    <row r="50" spans="1:2" x14ac:dyDescent="0.2">
      <c r="A50" t="s">
        <v>180</v>
      </c>
      <c r="B50" t="s">
        <v>791</v>
      </c>
    </row>
    <row r="51" spans="1:2" x14ac:dyDescent="0.2">
      <c r="A51" t="s">
        <v>181</v>
      </c>
      <c r="B51" t="s">
        <v>792</v>
      </c>
    </row>
    <row r="52" spans="1:2" x14ac:dyDescent="0.2">
      <c r="A52" t="s">
        <v>182</v>
      </c>
      <c r="B52" t="s">
        <v>793</v>
      </c>
    </row>
    <row r="53" spans="1:2" x14ac:dyDescent="0.2">
      <c r="A53" t="s">
        <v>183</v>
      </c>
      <c r="B53" t="s">
        <v>794</v>
      </c>
    </row>
    <row r="54" spans="1:2" x14ac:dyDescent="0.2">
      <c r="A54" t="s">
        <v>184</v>
      </c>
      <c r="B54" t="s">
        <v>795</v>
      </c>
    </row>
    <row r="55" spans="1:2" x14ac:dyDescent="0.2">
      <c r="A55" t="s">
        <v>185</v>
      </c>
      <c r="B55" t="s">
        <v>796</v>
      </c>
    </row>
    <row r="56" spans="1:2" x14ac:dyDescent="0.2">
      <c r="A56" t="s">
        <v>186</v>
      </c>
      <c r="B56" t="s">
        <v>797</v>
      </c>
    </row>
    <row r="57" spans="1:2" x14ac:dyDescent="0.2">
      <c r="A57" t="s">
        <v>187</v>
      </c>
      <c r="B57" t="s">
        <v>798</v>
      </c>
    </row>
    <row r="58" spans="1:2" x14ac:dyDescent="0.2">
      <c r="A58" t="s">
        <v>188</v>
      </c>
      <c r="B58" t="s">
        <v>799</v>
      </c>
    </row>
    <row r="59" spans="1:2" x14ac:dyDescent="0.2">
      <c r="A59" t="s">
        <v>189</v>
      </c>
      <c r="B59" t="s">
        <v>800</v>
      </c>
    </row>
    <row r="60" spans="1:2" x14ac:dyDescent="0.2">
      <c r="A60" t="s">
        <v>190</v>
      </c>
      <c r="B60" t="s">
        <v>801</v>
      </c>
    </row>
    <row r="61" spans="1:2" x14ac:dyDescent="0.2">
      <c r="A61" t="s">
        <v>191</v>
      </c>
      <c r="B61" t="s">
        <v>802</v>
      </c>
    </row>
    <row r="62" spans="1:2" x14ac:dyDescent="0.2">
      <c r="A62" t="s">
        <v>192</v>
      </c>
      <c r="B62" t="s">
        <v>803</v>
      </c>
    </row>
    <row r="63" spans="1:2" x14ac:dyDescent="0.2">
      <c r="A63" t="s">
        <v>193</v>
      </c>
      <c r="B63" t="s">
        <v>804</v>
      </c>
    </row>
    <row r="64" spans="1:2" x14ac:dyDescent="0.2">
      <c r="A64" t="s">
        <v>194</v>
      </c>
      <c r="B64" t="s">
        <v>805</v>
      </c>
    </row>
    <row r="65" spans="1:2" x14ac:dyDescent="0.2">
      <c r="A65" t="s">
        <v>195</v>
      </c>
      <c r="B65" t="s">
        <v>806</v>
      </c>
    </row>
    <row r="66" spans="1:2" x14ac:dyDescent="0.2">
      <c r="A66" t="s">
        <v>196</v>
      </c>
      <c r="B66" t="s">
        <v>807</v>
      </c>
    </row>
    <row r="67" spans="1:2" x14ac:dyDescent="0.2">
      <c r="A67" t="s">
        <v>197</v>
      </c>
      <c r="B67" t="s">
        <v>808</v>
      </c>
    </row>
    <row r="68" spans="1:2" x14ac:dyDescent="0.2">
      <c r="A68" t="s">
        <v>198</v>
      </c>
      <c r="B68" t="s">
        <v>809</v>
      </c>
    </row>
    <row r="69" spans="1:2" x14ac:dyDescent="0.2">
      <c r="A69" t="s">
        <v>199</v>
      </c>
      <c r="B69" t="s">
        <v>810</v>
      </c>
    </row>
    <row r="70" spans="1:2" x14ac:dyDescent="0.2">
      <c r="A70" t="s">
        <v>200</v>
      </c>
      <c r="B70" t="s">
        <v>811</v>
      </c>
    </row>
    <row r="71" spans="1:2" x14ac:dyDescent="0.2">
      <c r="A71" t="s">
        <v>201</v>
      </c>
      <c r="B71" t="s">
        <v>812</v>
      </c>
    </row>
    <row r="72" spans="1:2" x14ac:dyDescent="0.2">
      <c r="A72" t="s">
        <v>202</v>
      </c>
      <c r="B72" t="s">
        <v>813</v>
      </c>
    </row>
    <row r="73" spans="1:2" x14ac:dyDescent="0.2">
      <c r="A73" t="s">
        <v>203</v>
      </c>
      <c r="B73" t="s">
        <v>814</v>
      </c>
    </row>
    <row r="74" spans="1:2" x14ac:dyDescent="0.2">
      <c r="A74" t="s">
        <v>204</v>
      </c>
      <c r="B74" t="s">
        <v>815</v>
      </c>
    </row>
    <row r="75" spans="1:2" x14ac:dyDescent="0.2">
      <c r="A75" t="s">
        <v>205</v>
      </c>
      <c r="B75" t="s">
        <v>816</v>
      </c>
    </row>
    <row r="76" spans="1:2" x14ac:dyDescent="0.2">
      <c r="A76" t="s">
        <v>206</v>
      </c>
      <c r="B76" t="s">
        <v>817</v>
      </c>
    </row>
    <row r="77" spans="1:2" x14ac:dyDescent="0.2">
      <c r="A77" t="s">
        <v>207</v>
      </c>
      <c r="B77" t="s">
        <v>818</v>
      </c>
    </row>
    <row r="78" spans="1:2" x14ac:dyDescent="0.2">
      <c r="A78" t="s">
        <v>208</v>
      </c>
      <c r="B78" t="s">
        <v>819</v>
      </c>
    </row>
    <row r="79" spans="1:2" x14ac:dyDescent="0.2">
      <c r="A79" t="s">
        <v>209</v>
      </c>
      <c r="B79" t="s">
        <v>820</v>
      </c>
    </row>
    <row r="80" spans="1:2" x14ac:dyDescent="0.2">
      <c r="A80" t="s">
        <v>210</v>
      </c>
      <c r="B80" t="s">
        <v>821</v>
      </c>
    </row>
    <row r="81" spans="1:2" x14ac:dyDescent="0.2">
      <c r="A81" t="s">
        <v>211</v>
      </c>
      <c r="B81" t="s">
        <v>822</v>
      </c>
    </row>
    <row r="82" spans="1:2" x14ac:dyDescent="0.2">
      <c r="A82" t="s">
        <v>212</v>
      </c>
      <c r="B82" t="s">
        <v>823</v>
      </c>
    </row>
    <row r="83" spans="1:2" x14ac:dyDescent="0.2">
      <c r="A83" t="s">
        <v>213</v>
      </c>
      <c r="B83" t="s">
        <v>824</v>
      </c>
    </row>
    <row r="84" spans="1:2" x14ac:dyDescent="0.2">
      <c r="A84" t="s">
        <v>214</v>
      </c>
      <c r="B84" t="s">
        <v>825</v>
      </c>
    </row>
    <row r="85" spans="1:2" x14ac:dyDescent="0.2">
      <c r="A85" t="s">
        <v>215</v>
      </c>
      <c r="B85" t="s">
        <v>826</v>
      </c>
    </row>
    <row r="86" spans="1:2" x14ac:dyDescent="0.2">
      <c r="A86" t="s">
        <v>216</v>
      </c>
      <c r="B86" t="s">
        <v>827</v>
      </c>
    </row>
    <row r="87" spans="1:2" x14ac:dyDescent="0.2">
      <c r="A87" t="s">
        <v>217</v>
      </c>
      <c r="B87" t="s">
        <v>828</v>
      </c>
    </row>
    <row r="88" spans="1:2" x14ac:dyDescent="0.2">
      <c r="A88" t="s">
        <v>218</v>
      </c>
      <c r="B88" t="s">
        <v>829</v>
      </c>
    </row>
    <row r="89" spans="1:2" x14ac:dyDescent="0.2">
      <c r="A89" t="s">
        <v>219</v>
      </c>
      <c r="B89" t="s">
        <v>830</v>
      </c>
    </row>
    <row r="90" spans="1:2" x14ac:dyDescent="0.2">
      <c r="A90" t="s">
        <v>220</v>
      </c>
      <c r="B90" t="s">
        <v>831</v>
      </c>
    </row>
    <row r="91" spans="1:2" x14ac:dyDescent="0.2">
      <c r="A91" t="s">
        <v>221</v>
      </c>
      <c r="B91" t="s">
        <v>832</v>
      </c>
    </row>
    <row r="92" spans="1:2" x14ac:dyDescent="0.2">
      <c r="A92" t="s">
        <v>222</v>
      </c>
      <c r="B92" t="s">
        <v>833</v>
      </c>
    </row>
    <row r="93" spans="1:2" x14ac:dyDescent="0.2">
      <c r="A93" t="s">
        <v>223</v>
      </c>
      <c r="B93" t="s">
        <v>834</v>
      </c>
    </row>
    <row r="94" spans="1:2" x14ac:dyDescent="0.2">
      <c r="A94" t="s">
        <v>224</v>
      </c>
      <c r="B94" t="s">
        <v>835</v>
      </c>
    </row>
    <row r="95" spans="1:2" x14ac:dyDescent="0.2">
      <c r="A95" t="s">
        <v>225</v>
      </c>
      <c r="B95" t="s">
        <v>836</v>
      </c>
    </row>
    <row r="96" spans="1:2" x14ac:dyDescent="0.2">
      <c r="A96" t="s">
        <v>226</v>
      </c>
      <c r="B96" t="s">
        <v>837</v>
      </c>
    </row>
    <row r="97" spans="1:2" x14ac:dyDescent="0.2">
      <c r="A97" t="s">
        <v>227</v>
      </c>
      <c r="B97" t="s">
        <v>838</v>
      </c>
    </row>
    <row r="98" spans="1:2" x14ac:dyDescent="0.2">
      <c r="A98" t="s">
        <v>228</v>
      </c>
      <c r="B98" t="s">
        <v>839</v>
      </c>
    </row>
    <row r="99" spans="1:2" x14ac:dyDescent="0.2">
      <c r="A99" t="s">
        <v>229</v>
      </c>
      <c r="B99" t="s">
        <v>840</v>
      </c>
    </row>
    <row r="100" spans="1:2" x14ac:dyDescent="0.2">
      <c r="A100" t="s">
        <v>230</v>
      </c>
      <c r="B100" t="s">
        <v>841</v>
      </c>
    </row>
    <row r="101" spans="1:2" x14ac:dyDescent="0.2">
      <c r="A101" t="s">
        <v>231</v>
      </c>
      <c r="B101" t="s">
        <v>842</v>
      </c>
    </row>
    <row r="102" spans="1:2" x14ac:dyDescent="0.2">
      <c r="A102" t="s">
        <v>232</v>
      </c>
      <c r="B102" t="s">
        <v>843</v>
      </c>
    </row>
    <row r="103" spans="1:2" x14ac:dyDescent="0.2">
      <c r="A103" t="s">
        <v>233</v>
      </c>
      <c r="B103" t="s">
        <v>844</v>
      </c>
    </row>
    <row r="104" spans="1:2" x14ac:dyDescent="0.2">
      <c r="A104" t="s">
        <v>234</v>
      </c>
      <c r="B104" t="s">
        <v>845</v>
      </c>
    </row>
    <row r="105" spans="1:2" x14ac:dyDescent="0.2">
      <c r="A105" t="s">
        <v>235</v>
      </c>
      <c r="B105" t="s">
        <v>846</v>
      </c>
    </row>
    <row r="106" spans="1:2" x14ac:dyDescent="0.2">
      <c r="A106" t="s">
        <v>236</v>
      </c>
      <c r="B106" t="s">
        <v>847</v>
      </c>
    </row>
    <row r="107" spans="1:2" x14ac:dyDescent="0.2">
      <c r="A107" t="s">
        <v>237</v>
      </c>
      <c r="B107" t="s">
        <v>848</v>
      </c>
    </row>
    <row r="108" spans="1:2" x14ac:dyDescent="0.2">
      <c r="A108" t="s">
        <v>238</v>
      </c>
      <c r="B108" t="s">
        <v>849</v>
      </c>
    </row>
    <row r="109" spans="1:2" x14ac:dyDescent="0.2">
      <c r="A109" t="s">
        <v>239</v>
      </c>
      <c r="B109" t="s">
        <v>850</v>
      </c>
    </row>
    <row r="110" spans="1:2" x14ac:dyDescent="0.2">
      <c r="A110" t="s">
        <v>240</v>
      </c>
      <c r="B110" t="s">
        <v>851</v>
      </c>
    </row>
    <row r="111" spans="1:2" x14ac:dyDescent="0.2">
      <c r="A111" t="s">
        <v>241</v>
      </c>
      <c r="B111" t="s">
        <v>852</v>
      </c>
    </row>
    <row r="112" spans="1:2" x14ac:dyDescent="0.2">
      <c r="A112" t="s">
        <v>242</v>
      </c>
      <c r="B112" t="s">
        <v>853</v>
      </c>
    </row>
    <row r="113" spans="1:2" x14ac:dyDescent="0.2">
      <c r="A113" t="s">
        <v>243</v>
      </c>
      <c r="B113" t="s">
        <v>854</v>
      </c>
    </row>
    <row r="114" spans="1:2" x14ac:dyDescent="0.2">
      <c r="A114" t="s">
        <v>244</v>
      </c>
      <c r="B114" t="s">
        <v>855</v>
      </c>
    </row>
    <row r="115" spans="1:2" x14ac:dyDescent="0.2">
      <c r="A115" t="s">
        <v>245</v>
      </c>
      <c r="B115" t="s">
        <v>856</v>
      </c>
    </row>
    <row r="116" spans="1:2" x14ac:dyDescent="0.2">
      <c r="A116" t="s">
        <v>246</v>
      </c>
      <c r="B116" t="s">
        <v>857</v>
      </c>
    </row>
    <row r="117" spans="1:2" x14ac:dyDescent="0.2">
      <c r="A117" t="s">
        <v>247</v>
      </c>
      <c r="B117" t="s">
        <v>858</v>
      </c>
    </row>
    <row r="118" spans="1:2" x14ac:dyDescent="0.2">
      <c r="A118" t="s">
        <v>248</v>
      </c>
      <c r="B118" t="s">
        <v>859</v>
      </c>
    </row>
    <row r="119" spans="1:2" x14ac:dyDescent="0.2">
      <c r="A119" t="s">
        <v>249</v>
      </c>
      <c r="B119" t="s">
        <v>860</v>
      </c>
    </row>
    <row r="120" spans="1:2" x14ac:dyDescent="0.2">
      <c r="A120" t="s">
        <v>250</v>
      </c>
      <c r="B120" t="s">
        <v>861</v>
      </c>
    </row>
    <row r="121" spans="1:2" x14ac:dyDescent="0.2">
      <c r="A121" t="s">
        <v>251</v>
      </c>
      <c r="B121" t="s">
        <v>862</v>
      </c>
    </row>
    <row r="122" spans="1:2" x14ac:dyDescent="0.2">
      <c r="A122" t="s">
        <v>252</v>
      </c>
      <c r="B122" t="s">
        <v>863</v>
      </c>
    </row>
    <row r="123" spans="1:2" x14ac:dyDescent="0.2">
      <c r="A123" t="s">
        <v>253</v>
      </c>
      <c r="B123" t="s">
        <v>864</v>
      </c>
    </row>
    <row r="124" spans="1:2" x14ac:dyDescent="0.2">
      <c r="A124" t="s">
        <v>254</v>
      </c>
      <c r="B124" t="s">
        <v>865</v>
      </c>
    </row>
    <row r="125" spans="1:2" x14ac:dyDescent="0.2">
      <c r="A125" t="s">
        <v>255</v>
      </c>
      <c r="B125" t="s">
        <v>866</v>
      </c>
    </row>
    <row r="126" spans="1:2" x14ac:dyDescent="0.2">
      <c r="A126" t="s">
        <v>256</v>
      </c>
      <c r="B126" t="s">
        <v>867</v>
      </c>
    </row>
    <row r="127" spans="1:2" x14ac:dyDescent="0.2">
      <c r="A127" t="s">
        <v>257</v>
      </c>
      <c r="B127" t="s">
        <v>868</v>
      </c>
    </row>
    <row r="128" spans="1:2" x14ac:dyDescent="0.2">
      <c r="A128" t="s">
        <v>258</v>
      </c>
      <c r="B128" t="s">
        <v>869</v>
      </c>
    </row>
    <row r="129" spans="1:2" x14ac:dyDescent="0.2">
      <c r="A129" t="s">
        <v>259</v>
      </c>
      <c r="B129" t="s">
        <v>870</v>
      </c>
    </row>
    <row r="130" spans="1:2" x14ac:dyDescent="0.2">
      <c r="A130" t="s">
        <v>260</v>
      </c>
      <c r="B130" t="s">
        <v>871</v>
      </c>
    </row>
    <row r="131" spans="1:2" x14ac:dyDescent="0.2">
      <c r="A131" t="s">
        <v>261</v>
      </c>
      <c r="B131" t="s">
        <v>872</v>
      </c>
    </row>
    <row r="132" spans="1:2" x14ac:dyDescent="0.2">
      <c r="A132" t="s">
        <v>262</v>
      </c>
      <c r="B132" t="s">
        <v>873</v>
      </c>
    </row>
    <row r="133" spans="1:2" x14ac:dyDescent="0.2">
      <c r="A133" t="s">
        <v>263</v>
      </c>
      <c r="B133" t="s">
        <v>874</v>
      </c>
    </row>
    <row r="134" spans="1:2" x14ac:dyDescent="0.2">
      <c r="A134" t="s">
        <v>264</v>
      </c>
      <c r="B134" t="s">
        <v>875</v>
      </c>
    </row>
    <row r="135" spans="1:2" x14ac:dyDescent="0.2">
      <c r="A135" t="s">
        <v>265</v>
      </c>
      <c r="B135" t="s">
        <v>876</v>
      </c>
    </row>
    <row r="136" spans="1:2" x14ac:dyDescent="0.2">
      <c r="A136" t="s">
        <v>266</v>
      </c>
      <c r="B136" t="s">
        <v>877</v>
      </c>
    </row>
    <row r="137" spans="1:2" x14ac:dyDescent="0.2">
      <c r="A137" t="s">
        <v>267</v>
      </c>
      <c r="B137" t="s">
        <v>878</v>
      </c>
    </row>
    <row r="138" spans="1:2" x14ac:dyDescent="0.2">
      <c r="A138" t="s">
        <v>268</v>
      </c>
      <c r="B138" t="s">
        <v>879</v>
      </c>
    </row>
    <row r="139" spans="1:2" x14ac:dyDescent="0.2">
      <c r="A139" t="s">
        <v>269</v>
      </c>
      <c r="B139" t="s">
        <v>880</v>
      </c>
    </row>
    <row r="140" spans="1:2" x14ac:dyDescent="0.2">
      <c r="A140" t="s">
        <v>270</v>
      </c>
      <c r="B140" t="s">
        <v>881</v>
      </c>
    </row>
    <row r="141" spans="1:2" x14ac:dyDescent="0.2">
      <c r="A141" t="s">
        <v>271</v>
      </c>
      <c r="B141" t="s">
        <v>882</v>
      </c>
    </row>
    <row r="142" spans="1:2" x14ac:dyDescent="0.2">
      <c r="A142" t="s">
        <v>272</v>
      </c>
      <c r="B142" t="s">
        <v>883</v>
      </c>
    </row>
    <row r="143" spans="1:2" x14ac:dyDescent="0.2">
      <c r="A143" t="s">
        <v>273</v>
      </c>
      <c r="B143" t="s">
        <v>884</v>
      </c>
    </row>
    <row r="144" spans="1:2" x14ac:dyDescent="0.2">
      <c r="A144" t="s">
        <v>274</v>
      </c>
      <c r="B144" t="s">
        <v>885</v>
      </c>
    </row>
    <row r="145" spans="1:2" x14ac:dyDescent="0.2">
      <c r="A145" t="s">
        <v>275</v>
      </c>
      <c r="B145" t="s">
        <v>886</v>
      </c>
    </row>
    <row r="146" spans="1:2" x14ac:dyDescent="0.2">
      <c r="A146" t="s">
        <v>276</v>
      </c>
      <c r="B146" t="s">
        <v>887</v>
      </c>
    </row>
    <row r="147" spans="1:2" x14ac:dyDescent="0.2">
      <c r="A147" t="s">
        <v>277</v>
      </c>
      <c r="B147" t="s">
        <v>888</v>
      </c>
    </row>
    <row r="148" spans="1:2" x14ac:dyDescent="0.2">
      <c r="A148" t="s">
        <v>278</v>
      </c>
      <c r="B148" t="s">
        <v>889</v>
      </c>
    </row>
    <row r="149" spans="1:2" x14ac:dyDescent="0.2">
      <c r="A149" t="s">
        <v>279</v>
      </c>
      <c r="B149" t="s">
        <v>890</v>
      </c>
    </row>
    <row r="150" spans="1:2" x14ac:dyDescent="0.2">
      <c r="A150" t="s">
        <v>280</v>
      </c>
      <c r="B150" t="s">
        <v>891</v>
      </c>
    </row>
    <row r="151" spans="1:2" x14ac:dyDescent="0.2">
      <c r="A151" t="s">
        <v>281</v>
      </c>
      <c r="B151" t="s">
        <v>892</v>
      </c>
    </row>
    <row r="152" spans="1:2" x14ac:dyDescent="0.2">
      <c r="A152" t="s">
        <v>282</v>
      </c>
      <c r="B152" t="s">
        <v>893</v>
      </c>
    </row>
    <row r="153" spans="1:2" x14ac:dyDescent="0.2">
      <c r="A153" t="s">
        <v>283</v>
      </c>
      <c r="B153" t="s">
        <v>894</v>
      </c>
    </row>
    <row r="154" spans="1:2" x14ac:dyDescent="0.2">
      <c r="A154" t="s">
        <v>284</v>
      </c>
      <c r="B154" t="s">
        <v>895</v>
      </c>
    </row>
    <row r="155" spans="1:2" x14ac:dyDescent="0.2">
      <c r="A155" t="s">
        <v>285</v>
      </c>
      <c r="B155" t="s">
        <v>896</v>
      </c>
    </row>
    <row r="156" spans="1:2" x14ac:dyDescent="0.2">
      <c r="A156" t="s">
        <v>286</v>
      </c>
      <c r="B156" t="s">
        <v>897</v>
      </c>
    </row>
    <row r="157" spans="1:2" x14ac:dyDescent="0.2">
      <c r="A157" t="s">
        <v>287</v>
      </c>
      <c r="B157" t="s">
        <v>898</v>
      </c>
    </row>
    <row r="158" spans="1:2" x14ac:dyDescent="0.2">
      <c r="A158" t="s">
        <v>288</v>
      </c>
      <c r="B158" t="s">
        <v>899</v>
      </c>
    </row>
    <row r="159" spans="1:2" x14ac:dyDescent="0.2">
      <c r="A159" t="s">
        <v>289</v>
      </c>
      <c r="B159" t="s">
        <v>900</v>
      </c>
    </row>
    <row r="160" spans="1:2" x14ac:dyDescent="0.2">
      <c r="A160" t="s">
        <v>290</v>
      </c>
      <c r="B160" t="s">
        <v>901</v>
      </c>
    </row>
    <row r="161" spans="1:2" x14ac:dyDescent="0.2">
      <c r="A161" t="s">
        <v>291</v>
      </c>
      <c r="B161" t="s">
        <v>902</v>
      </c>
    </row>
    <row r="162" spans="1:2" x14ac:dyDescent="0.2">
      <c r="A162" t="s">
        <v>292</v>
      </c>
      <c r="B162" t="s">
        <v>903</v>
      </c>
    </row>
    <row r="163" spans="1:2" x14ac:dyDescent="0.2">
      <c r="A163" t="s">
        <v>293</v>
      </c>
      <c r="B163" t="s">
        <v>904</v>
      </c>
    </row>
    <row r="164" spans="1:2" x14ac:dyDescent="0.2">
      <c r="A164" t="s">
        <v>294</v>
      </c>
      <c r="B164" t="s">
        <v>905</v>
      </c>
    </row>
    <row r="165" spans="1:2" x14ac:dyDescent="0.2">
      <c r="A165" t="s">
        <v>295</v>
      </c>
      <c r="B165" t="s">
        <v>906</v>
      </c>
    </row>
    <row r="166" spans="1:2" x14ac:dyDescent="0.2">
      <c r="A166" t="s">
        <v>296</v>
      </c>
      <c r="B166" t="s">
        <v>907</v>
      </c>
    </row>
    <row r="167" spans="1:2" x14ac:dyDescent="0.2">
      <c r="A167" t="s">
        <v>297</v>
      </c>
      <c r="B167" t="s">
        <v>908</v>
      </c>
    </row>
    <row r="168" spans="1:2" x14ac:dyDescent="0.2">
      <c r="A168" t="s">
        <v>298</v>
      </c>
      <c r="B168" t="s">
        <v>909</v>
      </c>
    </row>
    <row r="169" spans="1:2" x14ac:dyDescent="0.2">
      <c r="A169" t="s">
        <v>299</v>
      </c>
      <c r="B169" t="s">
        <v>910</v>
      </c>
    </row>
    <row r="170" spans="1:2" x14ac:dyDescent="0.2">
      <c r="A170" t="s">
        <v>300</v>
      </c>
      <c r="B170" t="s">
        <v>911</v>
      </c>
    </row>
    <row r="171" spans="1:2" x14ac:dyDescent="0.2">
      <c r="A171" t="s">
        <v>301</v>
      </c>
      <c r="B171" t="s">
        <v>912</v>
      </c>
    </row>
    <row r="172" spans="1:2" x14ac:dyDescent="0.2">
      <c r="A172" t="s">
        <v>302</v>
      </c>
      <c r="B172" t="s">
        <v>913</v>
      </c>
    </row>
    <row r="173" spans="1:2" x14ac:dyDescent="0.2">
      <c r="A173" t="s">
        <v>303</v>
      </c>
      <c r="B173" t="s">
        <v>914</v>
      </c>
    </row>
    <row r="174" spans="1:2" x14ac:dyDescent="0.2">
      <c r="A174" t="s">
        <v>304</v>
      </c>
      <c r="B174" t="s">
        <v>915</v>
      </c>
    </row>
    <row r="175" spans="1:2" x14ac:dyDescent="0.2">
      <c r="A175" t="s">
        <v>305</v>
      </c>
      <c r="B175" t="s">
        <v>916</v>
      </c>
    </row>
    <row r="176" spans="1:2" x14ac:dyDescent="0.2">
      <c r="A176" t="s">
        <v>306</v>
      </c>
      <c r="B176" t="s">
        <v>917</v>
      </c>
    </row>
    <row r="177" spans="1:2" x14ac:dyDescent="0.2">
      <c r="A177" t="s">
        <v>307</v>
      </c>
      <c r="B177" t="s">
        <v>918</v>
      </c>
    </row>
    <row r="178" spans="1:2" x14ac:dyDescent="0.2">
      <c r="A178" t="s">
        <v>308</v>
      </c>
      <c r="B178" t="s">
        <v>919</v>
      </c>
    </row>
    <row r="179" spans="1:2" x14ac:dyDescent="0.2">
      <c r="A179" t="s">
        <v>309</v>
      </c>
      <c r="B179" t="s">
        <v>920</v>
      </c>
    </row>
    <row r="180" spans="1:2" x14ac:dyDescent="0.2">
      <c r="A180" t="s">
        <v>310</v>
      </c>
      <c r="B180" t="s">
        <v>921</v>
      </c>
    </row>
    <row r="181" spans="1:2" x14ac:dyDescent="0.2">
      <c r="A181" t="s">
        <v>311</v>
      </c>
      <c r="B181" t="s">
        <v>922</v>
      </c>
    </row>
    <row r="182" spans="1:2" x14ac:dyDescent="0.2">
      <c r="A182" t="s">
        <v>312</v>
      </c>
      <c r="B182" t="s">
        <v>923</v>
      </c>
    </row>
    <row r="183" spans="1:2" x14ac:dyDescent="0.2">
      <c r="A183" t="s">
        <v>313</v>
      </c>
      <c r="B183" t="s">
        <v>924</v>
      </c>
    </row>
    <row r="184" spans="1:2" x14ac:dyDescent="0.2">
      <c r="A184" t="s">
        <v>314</v>
      </c>
      <c r="B184" t="s">
        <v>925</v>
      </c>
    </row>
    <row r="185" spans="1:2" x14ac:dyDescent="0.2">
      <c r="A185" t="s">
        <v>315</v>
      </c>
      <c r="B185" t="s">
        <v>926</v>
      </c>
    </row>
    <row r="186" spans="1:2" x14ac:dyDescent="0.2">
      <c r="A186" t="s">
        <v>316</v>
      </c>
      <c r="B186" t="s">
        <v>927</v>
      </c>
    </row>
    <row r="187" spans="1:2" x14ac:dyDescent="0.2">
      <c r="A187" t="s">
        <v>317</v>
      </c>
      <c r="B187" t="s">
        <v>928</v>
      </c>
    </row>
    <row r="188" spans="1:2" x14ac:dyDescent="0.2">
      <c r="A188" t="s">
        <v>318</v>
      </c>
      <c r="B188" t="s">
        <v>929</v>
      </c>
    </row>
    <row r="189" spans="1:2" x14ac:dyDescent="0.2">
      <c r="A189" t="s">
        <v>319</v>
      </c>
      <c r="B189" t="s">
        <v>930</v>
      </c>
    </row>
    <row r="190" spans="1:2" x14ac:dyDescent="0.2">
      <c r="A190" t="s">
        <v>320</v>
      </c>
      <c r="B190" t="s">
        <v>931</v>
      </c>
    </row>
    <row r="191" spans="1:2" x14ac:dyDescent="0.2">
      <c r="A191" t="s">
        <v>321</v>
      </c>
      <c r="B191" t="s">
        <v>932</v>
      </c>
    </row>
    <row r="192" spans="1:2" x14ac:dyDescent="0.2">
      <c r="A192" t="s">
        <v>322</v>
      </c>
      <c r="B192" t="s">
        <v>933</v>
      </c>
    </row>
    <row r="193" spans="1:2" x14ac:dyDescent="0.2">
      <c r="A193" t="s">
        <v>323</v>
      </c>
      <c r="B193" t="s">
        <v>934</v>
      </c>
    </row>
    <row r="194" spans="1:2" x14ac:dyDescent="0.2">
      <c r="A194" t="s">
        <v>324</v>
      </c>
      <c r="B194" t="s">
        <v>935</v>
      </c>
    </row>
    <row r="195" spans="1:2" x14ac:dyDescent="0.2">
      <c r="A195" t="s">
        <v>325</v>
      </c>
      <c r="B195" t="s">
        <v>936</v>
      </c>
    </row>
    <row r="196" spans="1:2" x14ac:dyDescent="0.2">
      <c r="A196" t="s">
        <v>326</v>
      </c>
      <c r="B196" t="s">
        <v>937</v>
      </c>
    </row>
    <row r="197" spans="1:2" x14ac:dyDescent="0.2">
      <c r="A197" t="s">
        <v>327</v>
      </c>
      <c r="B197" t="s">
        <v>938</v>
      </c>
    </row>
    <row r="198" spans="1:2" x14ac:dyDescent="0.2">
      <c r="A198" t="s">
        <v>328</v>
      </c>
      <c r="B198" t="s">
        <v>939</v>
      </c>
    </row>
    <row r="199" spans="1:2" x14ac:dyDescent="0.2">
      <c r="A199" t="s">
        <v>329</v>
      </c>
      <c r="B199" t="s">
        <v>940</v>
      </c>
    </row>
    <row r="200" spans="1:2" x14ac:dyDescent="0.2">
      <c r="A200" t="s">
        <v>330</v>
      </c>
      <c r="B200" t="s">
        <v>941</v>
      </c>
    </row>
    <row r="201" spans="1:2" x14ac:dyDescent="0.2">
      <c r="A201" t="s">
        <v>331</v>
      </c>
      <c r="B201" t="s">
        <v>942</v>
      </c>
    </row>
    <row r="202" spans="1:2" x14ac:dyDescent="0.2">
      <c r="A202" t="s">
        <v>332</v>
      </c>
      <c r="B202" t="s">
        <v>943</v>
      </c>
    </row>
    <row r="203" spans="1:2" x14ac:dyDescent="0.2">
      <c r="A203" t="s">
        <v>333</v>
      </c>
      <c r="B203" t="s">
        <v>944</v>
      </c>
    </row>
    <row r="204" spans="1:2" x14ac:dyDescent="0.2">
      <c r="A204" t="s">
        <v>334</v>
      </c>
      <c r="B204" t="s">
        <v>945</v>
      </c>
    </row>
    <row r="205" spans="1:2" x14ac:dyDescent="0.2">
      <c r="A205" t="s">
        <v>335</v>
      </c>
      <c r="B205" t="s">
        <v>946</v>
      </c>
    </row>
    <row r="206" spans="1:2" x14ac:dyDescent="0.2">
      <c r="A206" t="s">
        <v>336</v>
      </c>
      <c r="B206" t="s">
        <v>947</v>
      </c>
    </row>
    <row r="207" spans="1:2" x14ac:dyDescent="0.2">
      <c r="A207" t="s">
        <v>337</v>
      </c>
      <c r="B207" t="s">
        <v>948</v>
      </c>
    </row>
    <row r="208" spans="1:2" x14ac:dyDescent="0.2">
      <c r="A208" t="s">
        <v>338</v>
      </c>
      <c r="B208" t="s">
        <v>949</v>
      </c>
    </row>
    <row r="209" spans="1:2" x14ac:dyDescent="0.2">
      <c r="A209" t="s">
        <v>339</v>
      </c>
      <c r="B209" t="s">
        <v>950</v>
      </c>
    </row>
    <row r="210" spans="1:2" x14ac:dyDescent="0.2">
      <c r="A210" t="s">
        <v>340</v>
      </c>
      <c r="B210" t="s">
        <v>951</v>
      </c>
    </row>
    <row r="211" spans="1:2" x14ac:dyDescent="0.2">
      <c r="A211" t="s">
        <v>341</v>
      </c>
      <c r="B211" t="s">
        <v>952</v>
      </c>
    </row>
    <row r="212" spans="1:2" x14ac:dyDescent="0.2">
      <c r="A212" t="s">
        <v>342</v>
      </c>
      <c r="B212" t="s">
        <v>953</v>
      </c>
    </row>
    <row r="213" spans="1:2" x14ac:dyDescent="0.2">
      <c r="A213" t="s">
        <v>343</v>
      </c>
      <c r="B213" t="s">
        <v>954</v>
      </c>
    </row>
    <row r="214" spans="1:2" x14ac:dyDescent="0.2">
      <c r="A214" t="s">
        <v>344</v>
      </c>
      <c r="B214" t="s">
        <v>955</v>
      </c>
    </row>
    <row r="215" spans="1:2" x14ac:dyDescent="0.2">
      <c r="A215" t="s">
        <v>345</v>
      </c>
      <c r="B215" t="s">
        <v>956</v>
      </c>
    </row>
    <row r="216" spans="1:2" x14ac:dyDescent="0.2">
      <c r="A216" t="s">
        <v>346</v>
      </c>
      <c r="B216" t="s">
        <v>957</v>
      </c>
    </row>
    <row r="217" spans="1:2" x14ac:dyDescent="0.2">
      <c r="A217" t="s">
        <v>347</v>
      </c>
      <c r="B217" t="s">
        <v>958</v>
      </c>
    </row>
    <row r="218" spans="1:2" x14ac:dyDescent="0.2">
      <c r="A218" t="s">
        <v>348</v>
      </c>
      <c r="B218" t="s">
        <v>959</v>
      </c>
    </row>
    <row r="219" spans="1:2" x14ac:dyDescent="0.2">
      <c r="A219" t="s">
        <v>349</v>
      </c>
      <c r="B219" t="s">
        <v>960</v>
      </c>
    </row>
    <row r="220" spans="1:2" x14ac:dyDescent="0.2">
      <c r="A220" t="s">
        <v>350</v>
      </c>
      <c r="B220" t="s">
        <v>961</v>
      </c>
    </row>
    <row r="221" spans="1:2" x14ac:dyDescent="0.2">
      <c r="A221" t="s">
        <v>351</v>
      </c>
      <c r="B221" t="s">
        <v>962</v>
      </c>
    </row>
    <row r="222" spans="1:2" x14ac:dyDescent="0.2">
      <c r="A222" t="s">
        <v>352</v>
      </c>
      <c r="B222" t="s">
        <v>963</v>
      </c>
    </row>
    <row r="223" spans="1:2" x14ac:dyDescent="0.2">
      <c r="A223" t="s">
        <v>353</v>
      </c>
      <c r="B223" t="s">
        <v>964</v>
      </c>
    </row>
    <row r="224" spans="1:2" x14ac:dyDescent="0.2">
      <c r="A224" t="s">
        <v>354</v>
      </c>
      <c r="B224" t="s">
        <v>965</v>
      </c>
    </row>
    <row r="225" spans="1:2" x14ac:dyDescent="0.2">
      <c r="A225" t="s">
        <v>355</v>
      </c>
      <c r="B225" t="s">
        <v>966</v>
      </c>
    </row>
    <row r="226" spans="1:2" x14ac:dyDescent="0.2">
      <c r="A226" t="s">
        <v>356</v>
      </c>
      <c r="B226" t="s">
        <v>967</v>
      </c>
    </row>
    <row r="227" spans="1:2" x14ac:dyDescent="0.2">
      <c r="A227" t="s">
        <v>357</v>
      </c>
      <c r="B227" t="s">
        <v>968</v>
      </c>
    </row>
    <row r="228" spans="1:2" x14ac:dyDescent="0.2">
      <c r="A228" t="s">
        <v>358</v>
      </c>
      <c r="B228" t="s">
        <v>969</v>
      </c>
    </row>
    <row r="229" spans="1:2" x14ac:dyDescent="0.2">
      <c r="A229" t="s">
        <v>359</v>
      </c>
      <c r="B229" t="s">
        <v>970</v>
      </c>
    </row>
    <row r="230" spans="1:2" x14ac:dyDescent="0.2">
      <c r="A230" t="s">
        <v>360</v>
      </c>
      <c r="B230" t="s">
        <v>971</v>
      </c>
    </row>
    <row r="231" spans="1:2" x14ac:dyDescent="0.2">
      <c r="A231" t="s">
        <v>361</v>
      </c>
      <c r="B231" t="s">
        <v>972</v>
      </c>
    </row>
    <row r="232" spans="1:2" x14ac:dyDescent="0.2">
      <c r="A232" t="s">
        <v>362</v>
      </c>
      <c r="B232" t="s">
        <v>973</v>
      </c>
    </row>
    <row r="233" spans="1:2" x14ac:dyDescent="0.2">
      <c r="A233" t="s">
        <v>363</v>
      </c>
      <c r="B233" t="s">
        <v>974</v>
      </c>
    </row>
    <row r="234" spans="1:2" x14ac:dyDescent="0.2">
      <c r="A234" t="s">
        <v>364</v>
      </c>
      <c r="B234" t="s">
        <v>975</v>
      </c>
    </row>
    <row r="235" spans="1:2" x14ac:dyDescent="0.2">
      <c r="A235" t="s">
        <v>365</v>
      </c>
      <c r="B235" t="s">
        <v>976</v>
      </c>
    </row>
    <row r="236" spans="1:2" x14ac:dyDescent="0.2">
      <c r="A236" t="s">
        <v>366</v>
      </c>
      <c r="B236" t="s">
        <v>977</v>
      </c>
    </row>
    <row r="237" spans="1:2" x14ac:dyDescent="0.2">
      <c r="A237" t="s">
        <v>367</v>
      </c>
      <c r="B237" t="s">
        <v>978</v>
      </c>
    </row>
    <row r="238" spans="1:2" x14ac:dyDescent="0.2">
      <c r="A238" t="s">
        <v>368</v>
      </c>
      <c r="B238" t="s">
        <v>979</v>
      </c>
    </row>
    <row r="239" spans="1:2" x14ac:dyDescent="0.2">
      <c r="A239" t="s">
        <v>369</v>
      </c>
      <c r="B239" t="s">
        <v>980</v>
      </c>
    </row>
    <row r="240" spans="1:2" x14ac:dyDescent="0.2">
      <c r="A240" t="s">
        <v>370</v>
      </c>
      <c r="B240" t="s">
        <v>981</v>
      </c>
    </row>
    <row r="241" spans="1:2" x14ac:dyDescent="0.2">
      <c r="A241" t="s">
        <v>371</v>
      </c>
      <c r="B241" t="s">
        <v>982</v>
      </c>
    </row>
    <row r="242" spans="1:2" x14ac:dyDescent="0.2">
      <c r="A242" t="s">
        <v>372</v>
      </c>
      <c r="B242" t="s">
        <v>983</v>
      </c>
    </row>
    <row r="243" spans="1:2" x14ac:dyDescent="0.2">
      <c r="A243" t="s">
        <v>373</v>
      </c>
      <c r="B243" t="s">
        <v>984</v>
      </c>
    </row>
    <row r="244" spans="1:2" x14ac:dyDescent="0.2">
      <c r="A244" t="s">
        <v>374</v>
      </c>
      <c r="B244" t="s">
        <v>985</v>
      </c>
    </row>
    <row r="245" spans="1:2" x14ac:dyDescent="0.2">
      <c r="A245" t="s">
        <v>375</v>
      </c>
      <c r="B245" t="s">
        <v>986</v>
      </c>
    </row>
    <row r="246" spans="1:2" x14ac:dyDescent="0.2">
      <c r="A246" t="s">
        <v>376</v>
      </c>
      <c r="B246" t="s">
        <v>987</v>
      </c>
    </row>
    <row r="247" spans="1:2" x14ac:dyDescent="0.2">
      <c r="A247" t="s">
        <v>377</v>
      </c>
      <c r="B247" t="s">
        <v>988</v>
      </c>
    </row>
    <row r="248" spans="1:2" x14ac:dyDescent="0.2">
      <c r="A248" t="s">
        <v>378</v>
      </c>
      <c r="B248" t="s">
        <v>989</v>
      </c>
    </row>
    <row r="249" spans="1:2" x14ac:dyDescent="0.2">
      <c r="A249" t="s">
        <v>379</v>
      </c>
      <c r="B249" t="s">
        <v>990</v>
      </c>
    </row>
    <row r="250" spans="1:2" x14ac:dyDescent="0.2">
      <c r="A250" t="s">
        <v>380</v>
      </c>
      <c r="B250" t="s">
        <v>991</v>
      </c>
    </row>
    <row r="251" spans="1:2" x14ac:dyDescent="0.2">
      <c r="A251" t="s">
        <v>381</v>
      </c>
      <c r="B251" t="s">
        <v>992</v>
      </c>
    </row>
    <row r="252" spans="1:2" x14ac:dyDescent="0.2">
      <c r="A252" t="s">
        <v>382</v>
      </c>
      <c r="B252" t="s">
        <v>993</v>
      </c>
    </row>
    <row r="253" spans="1:2" x14ac:dyDescent="0.2">
      <c r="A253" t="s">
        <v>383</v>
      </c>
      <c r="B253" t="s">
        <v>994</v>
      </c>
    </row>
    <row r="254" spans="1:2" x14ac:dyDescent="0.2">
      <c r="A254" t="s">
        <v>384</v>
      </c>
      <c r="B254" t="s">
        <v>995</v>
      </c>
    </row>
    <row r="255" spans="1:2" x14ac:dyDescent="0.2">
      <c r="A255" t="s">
        <v>385</v>
      </c>
      <c r="B255" t="s">
        <v>996</v>
      </c>
    </row>
    <row r="256" spans="1:2" x14ac:dyDescent="0.2">
      <c r="A256" t="s">
        <v>386</v>
      </c>
      <c r="B256" t="s">
        <v>997</v>
      </c>
    </row>
    <row r="257" spans="1:2" x14ac:dyDescent="0.2">
      <c r="A257" t="s">
        <v>387</v>
      </c>
      <c r="B257" t="s">
        <v>998</v>
      </c>
    </row>
    <row r="258" spans="1:2" x14ac:dyDescent="0.2">
      <c r="A258" t="s">
        <v>388</v>
      </c>
      <c r="B258" t="s">
        <v>999</v>
      </c>
    </row>
    <row r="259" spans="1:2" x14ac:dyDescent="0.2">
      <c r="A259" t="s">
        <v>389</v>
      </c>
      <c r="B259" t="s">
        <v>1000</v>
      </c>
    </row>
    <row r="260" spans="1:2" x14ac:dyDescent="0.2">
      <c r="A260" t="s">
        <v>390</v>
      </c>
      <c r="B260" t="s">
        <v>1001</v>
      </c>
    </row>
    <row r="261" spans="1:2" x14ac:dyDescent="0.2">
      <c r="A261" t="s">
        <v>391</v>
      </c>
      <c r="B261" t="s">
        <v>1002</v>
      </c>
    </row>
    <row r="262" spans="1:2" x14ac:dyDescent="0.2">
      <c r="A262" t="s">
        <v>392</v>
      </c>
      <c r="B262" t="s">
        <v>1003</v>
      </c>
    </row>
    <row r="263" spans="1:2" x14ac:dyDescent="0.2">
      <c r="A263" t="s">
        <v>393</v>
      </c>
      <c r="B263" t="s">
        <v>1004</v>
      </c>
    </row>
    <row r="264" spans="1:2" x14ac:dyDescent="0.2">
      <c r="A264" t="s">
        <v>394</v>
      </c>
      <c r="B264" t="s">
        <v>1005</v>
      </c>
    </row>
    <row r="265" spans="1:2" x14ac:dyDescent="0.2">
      <c r="A265" t="s">
        <v>395</v>
      </c>
      <c r="B265" t="s">
        <v>1006</v>
      </c>
    </row>
    <row r="266" spans="1:2" x14ac:dyDescent="0.2">
      <c r="A266" t="s">
        <v>396</v>
      </c>
      <c r="B266" t="s">
        <v>1007</v>
      </c>
    </row>
    <row r="267" spans="1:2" x14ac:dyDescent="0.2">
      <c r="A267" t="s">
        <v>397</v>
      </c>
      <c r="B267" t="s">
        <v>1008</v>
      </c>
    </row>
    <row r="268" spans="1:2" x14ac:dyDescent="0.2">
      <c r="A268" t="s">
        <v>398</v>
      </c>
      <c r="B268" t="s">
        <v>1009</v>
      </c>
    </row>
    <row r="269" spans="1:2" x14ac:dyDescent="0.2">
      <c r="A269" t="s">
        <v>399</v>
      </c>
      <c r="B269" t="s">
        <v>1010</v>
      </c>
    </row>
    <row r="270" spans="1:2" x14ac:dyDescent="0.2">
      <c r="A270" t="s">
        <v>400</v>
      </c>
      <c r="B270" t="s">
        <v>1011</v>
      </c>
    </row>
    <row r="271" spans="1:2" x14ac:dyDescent="0.2">
      <c r="A271" t="s">
        <v>401</v>
      </c>
      <c r="B271" t="s">
        <v>1012</v>
      </c>
    </row>
    <row r="272" spans="1:2" x14ac:dyDescent="0.2">
      <c r="A272" t="s">
        <v>402</v>
      </c>
      <c r="B272" t="s">
        <v>1013</v>
      </c>
    </row>
    <row r="273" spans="1:2" x14ac:dyDescent="0.2">
      <c r="A273" t="s">
        <v>403</v>
      </c>
      <c r="B273" t="s">
        <v>1014</v>
      </c>
    </row>
    <row r="274" spans="1:2" x14ac:dyDescent="0.2">
      <c r="A274" t="s">
        <v>404</v>
      </c>
      <c r="B274" t="s">
        <v>1015</v>
      </c>
    </row>
    <row r="275" spans="1:2" x14ac:dyDescent="0.2">
      <c r="A275" t="s">
        <v>405</v>
      </c>
      <c r="B275" t="s">
        <v>1016</v>
      </c>
    </row>
    <row r="276" spans="1:2" x14ac:dyDescent="0.2">
      <c r="A276" t="s">
        <v>406</v>
      </c>
      <c r="B276" t="s">
        <v>1017</v>
      </c>
    </row>
    <row r="277" spans="1:2" x14ac:dyDescent="0.2">
      <c r="A277" t="s">
        <v>407</v>
      </c>
      <c r="B277" t="s">
        <v>1018</v>
      </c>
    </row>
    <row r="278" spans="1:2" x14ac:dyDescent="0.2">
      <c r="A278" t="s">
        <v>408</v>
      </c>
      <c r="B278" t="s">
        <v>1019</v>
      </c>
    </row>
    <row r="279" spans="1:2" x14ac:dyDescent="0.2">
      <c r="A279" t="s">
        <v>409</v>
      </c>
      <c r="B279" t="s">
        <v>1020</v>
      </c>
    </row>
    <row r="280" spans="1:2" x14ac:dyDescent="0.2">
      <c r="A280" t="s">
        <v>410</v>
      </c>
      <c r="B280" t="s">
        <v>1021</v>
      </c>
    </row>
    <row r="281" spans="1:2" x14ac:dyDescent="0.2">
      <c r="A281" t="s">
        <v>411</v>
      </c>
      <c r="B281" t="s">
        <v>1022</v>
      </c>
    </row>
    <row r="282" spans="1:2" x14ac:dyDescent="0.2">
      <c r="A282" t="s">
        <v>412</v>
      </c>
      <c r="B282" t="s">
        <v>1023</v>
      </c>
    </row>
    <row r="283" spans="1:2" x14ac:dyDescent="0.2">
      <c r="A283" t="s">
        <v>413</v>
      </c>
      <c r="B283" t="s">
        <v>1024</v>
      </c>
    </row>
    <row r="284" spans="1:2" x14ac:dyDescent="0.2">
      <c r="A284" t="s">
        <v>414</v>
      </c>
      <c r="B284" t="s">
        <v>1025</v>
      </c>
    </row>
    <row r="285" spans="1:2" x14ac:dyDescent="0.2">
      <c r="A285" t="s">
        <v>415</v>
      </c>
      <c r="B285" t="s">
        <v>1026</v>
      </c>
    </row>
    <row r="286" spans="1:2" x14ac:dyDescent="0.2">
      <c r="A286" t="s">
        <v>416</v>
      </c>
      <c r="B286" t="s">
        <v>1027</v>
      </c>
    </row>
    <row r="287" spans="1:2" x14ac:dyDescent="0.2">
      <c r="A287" t="s">
        <v>417</v>
      </c>
      <c r="B287" t="s">
        <v>1028</v>
      </c>
    </row>
    <row r="288" spans="1:2" x14ac:dyDescent="0.2">
      <c r="A288" t="s">
        <v>418</v>
      </c>
      <c r="B288" t="s">
        <v>1029</v>
      </c>
    </row>
    <row r="289" spans="1:2" x14ac:dyDescent="0.2">
      <c r="A289" t="s">
        <v>419</v>
      </c>
      <c r="B289" t="s">
        <v>1030</v>
      </c>
    </row>
    <row r="290" spans="1:2" x14ac:dyDescent="0.2">
      <c r="A290" t="s">
        <v>420</v>
      </c>
      <c r="B290" t="s">
        <v>1031</v>
      </c>
    </row>
    <row r="291" spans="1:2" x14ac:dyDescent="0.2">
      <c r="A291" t="s">
        <v>421</v>
      </c>
      <c r="B291" t="s">
        <v>1032</v>
      </c>
    </row>
    <row r="292" spans="1:2" x14ac:dyDescent="0.2">
      <c r="A292" t="s">
        <v>422</v>
      </c>
      <c r="B292" t="s">
        <v>1033</v>
      </c>
    </row>
    <row r="293" spans="1:2" x14ac:dyDescent="0.2">
      <c r="A293" t="s">
        <v>423</v>
      </c>
      <c r="B293" t="s">
        <v>1034</v>
      </c>
    </row>
    <row r="294" spans="1:2" x14ac:dyDescent="0.2">
      <c r="A294" t="s">
        <v>424</v>
      </c>
      <c r="B294" t="s">
        <v>1035</v>
      </c>
    </row>
    <row r="295" spans="1:2" x14ac:dyDescent="0.2">
      <c r="A295" t="s">
        <v>425</v>
      </c>
      <c r="B295" t="s">
        <v>1036</v>
      </c>
    </row>
    <row r="296" spans="1:2" x14ac:dyDescent="0.2">
      <c r="A296" t="s">
        <v>426</v>
      </c>
      <c r="B296" t="s">
        <v>1037</v>
      </c>
    </row>
    <row r="297" spans="1:2" x14ac:dyDescent="0.2">
      <c r="A297" t="s">
        <v>427</v>
      </c>
      <c r="B297" t="s">
        <v>1038</v>
      </c>
    </row>
    <row r="298" spans="1:2" x14ac:dyDescent="0.2">
      <c r="A298" t="s">
        <v>428</v>
      </c>
      <c r="B298" t="s">
        <v>1039</v>
      </c>
    </row>
    <row r="299" spans="1:2" x14ac:dyDescent="0.2">
      <c r="A299" t="s">
        <v>429</v>
      </c>
      <c r="B299" t="s">
        <v>1040</v>
      </c>
    </row>
    <row r="300" spans="1:2" x14ac:dyDescent="0.2">
      <c r="A300" t="s">
        <v>430</v>
      </c>
      <c r="B300" t="s">
        <v>1041</v>
      </c>
    </row>
    <row r="301" spans="1:2" x14ac:dyDescent="0.2">
      <c r="A301" t="s">
        <v>431</v>
      </c>
      <c r="B301" t="s">
        <v>1042</v>
      </c>
    </row>
    <row r="302" spans="1:2" x14ac:dyDescent="0.2">
      <c r="A302" t="s">
        <v>432</v>
      </c>
      <c r="B302" t="s">
        <v>1043</v>
      </c>
    </row>
    <row r="303" spans="1:2" x14ac:dyDescent="0.2">
      <c r="A303" t="s">
        <v>433</v>
      </c>
      <c r="B303" t="s">
        <v>1044</v>
      </c>
    </row>
    <row r="304" spans="1:2" x14ac:dyDescent="0.2">
      <c r="A304" t="s">
        <v>434</v>
      </c>
      <c r="B304" t="s">
        <v>1045</v>
      </c>
    </row>
    <row r="305" spans="1:2" x14ac:dyDescent="0.2">
      <c r="A305" t="s">
        <v>435</v>
      </c>
      <c r="B305" t="s">
        <v>1046</v>
      </c>
    </row>
    <row r="306" spans="1:2" x14ac:dyDescent="0.2">
      <c r="A306" t="s">
        <v>436</v>
      </c>
      <c r="B306" t="s">
        <v>1047</v>
      </c>
    </row>
    <row r="307" spans="1:2" x14ac:dyDescent="0.2">
      <c r="A307" t="s">
        <v>437</v>
      </c>
      <c r="B307" t="s">
        <v>1048</v>
      </c>
    </row>
    <row r="308" spans="1:2" x14ac:dyDescent="0.2">
      <c r="A308" t="s">
        <v>438</v>
      </c>
      <c r="B308" t="s">
        <v>1049</v>
      </c>
    </row>
    <row r="309" spans="1:2" x14ac:dyDescent="0.2">
      <c r="A309" t="s">
        <v>439</v>
      </c>
      <c r="B309" t="s">
        <v>1050</v>
      </c>
    </row>
    <row r="310" spans="1:2" x14ac:dyDescent="0.2">
      <c r="A310" t="s">
        <v>440</v>
      </c>
      <c r="B310" t="s">
        <v>1051</v>
      </c>
    </row>
    <row r="311" spans="1:2" x14ac:dyDescent="0.2">
      <c r="A311" t="s">
        <v>441</v>
      </c>
      <c r="B311" t="s">
        <v>1052</v>
      </c>
    </row>
    <row r="312" spans="1:2" x14ac:dyDescent="0.2">
      <c r="A312" t="s">
        <v>442</v>
      </c>
      <c r="B312" t="s">
        <v>1053</v>
      </c>
    </row>
    <row r="313" spans="1:2" x14ac:dyDescent="0.2">
      <c r="A313" t="s">
        <v>443</v>
      </c>
      <c r="B313" t="s">
        <v>1054</v>
      </c>
    </row>
    <row r="314" spans="1:2" x14ac:dyDescent="0.2">
      <c r="A314" t="s">
        <v>444</v>
      </c>
      <c r="B314" t="s">
        <v>1055</v>
      </c>
    </row>
    <row r="315" spans="1:2" x14ac:dyDescent="0.2">
      <c r="A315" t="s">
        <v>445</v>
      </c>
      <c r="B315" t="s">
        <v>1056</v>
      </c>
    </row>
    <row r="316" spans="1:2" x14ac:dyDescent="0.2">
      <c r="A316" t="s">
        <v>446</v>
      </c>
      <c r="B316" t="s">
        <v>1057</v>
      </c>
    </row>
    <row r="317" spans="1:2" x14ac:dyDescent="0.2">
      <c r="A317" t="s">
        <v>447</v>
      </c>
      <c r="B317" t="s">
        <v>1058</v>
      </c>
    </row>
    <row r="318" spans="1:2" x14ac:dyDescent="0.2">
      <c r="A318" t="s">
        <v>448</v>
      </c>
      <c r="B318" t="s">
        <v>1059</v>
      </c>
    </row>
    <row r="319" spans="1:2" x14ac:dyDescent="0.2">
      <c r="A319" t="s">
        <v>449</v>
      </c>
      <c r="B319" t="s">
        <v>1060</v>
      </c>
    </row>
    <row r="320" spans="1:2" x14ac:dyDescent="0.2">
      <c r="A320" t="s">
        <v>450</v>
      </c>
      <c r="B320" t="s">
        <v>1061</v>
      </c>
    </row>
    <row r="321" spans="1:2" x14ac:dyDescent="0.2">
      <c r="A321" t="s">
        <v>451</v>
      </c>
      <c r="B321" t="s">
        <v>1062</v>
      </c>
    </row>
    <row r="322" spans="1:2" x14ac:dyDescent="0.2">
      <c r="A322" t="s">
        <v>452</v>
      </c>
      <c r="B322" t="s">
        <v>1063</v>
      </c>
    </row>
    <row r="323" spans="1:2" x14ac:dyDescent="0.2">
      <c r="A323" t="s">
        <v>453</v>
      </c>
      <c r="B323" t="s">
        <v>1064</v>
      </c>
    </row>
    <row r="324" spans="1:2" x14ac:dyDescent="0.2">
      <c r="A324" t="s">
        <v>454</v>
      </c>
      <c r="B324" t="s">
        <v>1065</v>
      </c>
    </row>
    <row r="325" spans="1:2" x14ac:dyDescent="0.2">
      <c r="A325" t="s">
        <v>455</v>
      </c>
      <c r="B325" t="s">
        <v>1066</v>
      </c>
    </row>
    <row r="326" spans="1:2" x14ac:dyDescent="0.2">
      <c r="A326" t="s">
        <v>456</v>
      </c>
      <c r="B326" t="s">
        <v>1067</v>
      </c>
    </row>
    <row r="327" spans="1:2" x14ac:dyDescent="0.2">
      <c r="A327" t="s">
        <v>457</v>
      </c>
      <c r="B327" t="s">
        <v>1068</v>
      </c>
    </row>
    <row r="328" spans="1:2" x14ac:dyDescent="0.2">
      <c r="A328" t="s">
        <v>458</v>
      </c>
      <c r="B328" t="s">
        <v>1069</v>
      </c>
    </row>
    <row r="329" spans="1:2" x14ac:dyDescent="0.2">
      <c r="A329" t="s">
        <v>459</v>
      </c>
      <c r="B329" t="s">
        <v>1070</v>
      </c>
    </row>
    <row r="330" spans="1:2" x14ac:dyDescent="0.2">
      <c r="A330" t="s">
        <v>460</v>
      </c>
      <c r="B330" t="s">
        <v>1071</v>
      </c>
    </row>
    <row r="331" spans="1:2" x14ac:dyDescent="0.2">
      <c r="A331" t="s">
        <v>461</v>
      </c>
      <c r="B331" t="s">
        <v>1072</v>
      </c>
    </row>
    <row r="332" spans="1:2" x14ac:dyDescent="0.2">
      <c r="A332" t="s">
        <v>462</v>
      </c>
      <c r="B332" t="s">
        <v>1073</v>
      </c>
    </row>
    <row r="333" spans="1:2" x14ac:dyDescent="0.2">
      <c r="A333" t="s">
        <v>463</v>
      </c>
      <c r="B333" t="s">
        <v>1074</v>
      </c>
    </row>
    <row r="334" spans="1:2" x14ac:dyDescent="0.2">
      <c r="A334" t="s">
        <v>464</v>
      </c>
      <c r="B334" t="s">
        <v>1075</v>
      </c>
    </row>
    <row r="335" spans="1:2" x14ac:dyDescent="0.2">
      <c r="A335" t="s">
        <v>465</v>
      </c>
      <c r="B335" t="s">
        <v>1076</v>
      </c>
    </row>
    <row r="336" spans="1:2" x14ac:dyDescent="0.2">
      <c r="A336" t="s">
        <v>466</v>
      </c>
      <c r="B336" t="s">
        <v>1077</v>
      </c>
    </row>
    <row r="337" spans="1:2" x14ac:dyDescent="0.2">
      <c r="A337" t="s">
        <v>467</v>
      </c>
      <c r="B337" t="s">
        <v>1078</v>
      </c>
    </row>
    <row r="338" spans="1:2" x14ac:dyDescent="0.2">
      <c r="A338" t="s">
        <v>468</v>
      </c>
      <c r="B338" t="s">
        <v>1079</v>
      </c>
    </row>
    <row r="339" spans="1:2" x14ac:dyDescent="0.2">
      <c r="A339" t="s">
        <v>469</v>
      </c>
      <c r="B339" t="s">
        <v>1080</v>
      </c>
    </row>
    <row r="340" spans="1:2" x14ac:dyDescent="0.2">
      <c r="A340" t="s">
        <v>470</v>
      </c>
      <c r="B340" t="s">
        <v>1081</v>
      </c>
    </row>
    <row r="341" spans="1:2" x14ac:dyDescent="0.2">
      <c r="A341" t="s">
        <v>471</v>
      </c>
      <c r="B341" t="s">
        <v>1082</v>
      </c>
    </row>
    <row r="342" spans="1:2" x14ac:dyDescent="0.2">
      <c r="A342" t="s">
        <v>472</v>
      </c>
      <c r="B342" t="s">
        <v>1083</v>
      </c>
    </row>
    <row r="343" spans="1:2" x14ac:dyDescent="0.2">
      <c r="A343" t="s">
        <v>473</v>
      </c>
      <c r="B343" t="s">
        <v>1084</v>
      </c>
    </row>
    <row r="344" spans="1:2" x14ac:dyDescent="0.2">
      <c r="A344" t="s">
        <v>474</v>
      </c>
      <c r="B344" t="s">
        <v>1085</v>
      </c>
    </row>
    <row r="345" spans="1:2" x14ac:dyDescent="0.2">
      <c r="A345" t="s">
        <v>475</v>
      </c>
      <c r="B345" t="s">
        <v>1086</v>
      </c>
    </row>
    <row r="346" spans="1:2" x14ac:dyDescent="0.2">
      <c r="A346" t="s">
        <v>476</v>
      </c>
      <c r="B346" t="s">
        <v>1087</v>
      </c>
    </row>
    <row r="347" spans="1:2" x14ac:dyDescent="0.2">
      <c r="A347" t="s">
        <v>477</v>
      </c>
      <c r="B347" t="s">
        <v>1088</v>
      </c>
    </row>
    <row r="348" spans="1:2" x14ac:dyDescent="0.2">
      <c r="A348" t="s">
        <v>478</v>
      </c>
      <c r="B348" t="s">
        <v>1089</v>
      </c>
    </row>
    <row r="349" spans="1:2" x14ac:dyDescent="0.2">
      <c r="A349" t="s">
        <v>479</v>
      </c>
      <c r="B349" t="s">
        <v>1090</v>
      </c>
    </row>
    <row r="350" spans="1:2" x14ac:dyDescent="0.2">
      <c r="A350" t="s">
        <v>480</v>
      </c>
      <c r="B350" t="s">
        <v>1091</v>
      </c>
    </row>
    <row r="351" spans="1:2" x14ac:dyDescent="0.2">
      <c r="A351" t="s">
        <v>481</v>
      </c>
      <c r="B351" t="s">
        <v>1092</v>
      </c>
    </row>
    <row r="352" spans="1:2" x14ac:dyDescent="0.2">
      <c r="A352" t="s">
        <v>482</v>
      </c>
      <c r="B352" t="s">
        <v>1093</v>
      </c>
    </row>
    <row r="353" spans="1:2" x14ac:dyDescent="0.2">
      <c r="A353" t="s">
        <v>483</v>
      </c>
      <c r="B353" t="s">
        <v>1094</v>
      </c>
    </row>
    <row r="354" spans="1:2" x14ac:dyDescent="0.2">
      <c r="A354" t="s">
        <v>484</v>
      </c>
      <c r="B354" t="s">
        <v>1095</v>
      </c>
    </row>
    <row r="355" spans="1:2" x14ac:dyDescent="0.2">
      <c r="A355" t="s">
        <v>485</v>
      </c>
      <c r="B355" t="s">
        <v>1096</v>
      </c>
    </row>
    <row r="356" spans="1:2" x14ac:dyDescent="0.2">
      <c r="A356" t="s">
        <v>486</v>
      </c>
      <c r="B356" t="s">
        <v>1097</v>
      </c>
    </row>
    <row r="357" spans="1:2" x14ac:dyDescent="0.2">
      <c r="A357" t="s">
        <v>487</v>
      </c>
      <c r="B357" t="s">
        <v>1098</v>
      </c>
    </row>
    <row r="358" spans="1:2" x14ac:dyDescent="0.2">
      <c r="A358" t="s">
        <v>488</v>
      </c>
      <c r="B358" t="s">
        <v>1099</v>
      </c>
    </row>
    <row r="359" spans="1:2" x14ac:dyDescent="0.2">
      <c r="A359" t="s">
        <v>489</v>
      </c>
    </row>
    <row r="360" spans="1:2" x14ac:dyDescent="0.2">
      <c r="A360" t="s">
        <v>490</v>
      </c>
    </row>
    <row r="361" spans="1:2" x14ac:dyDescent="0.2">
      <c r="A361" t="s">
        <v>491</v>
      </c>
    </row>
    <row r="362" spans="1:2" x14ac:dyDescent="0.2">
      <c r="A362" t="s">
        <v>492</v>
      </c>
    </row>
    <row r="363" spans="1:2" x14ac:dyDescent="0.2">
      <c r="A363" t="s">
        <v>493</v>
      </c>
    </row>
    <row r="364" spans="1:2" x14ac:dyDescent="0.2">
      <c r="A364" t="s">
        <v>494</v>
      </c>
    </row>
    <row r="365" spans="1:2" x14ac:dyDescent="0.2">
      <c r="A365" t="s">
        <v>495</v>
      </c>
    </row>
    <row r="366" spans="1:2" x14ac:dyDescent="0.2">
      <c r="A366" t="s">
        <v>496</v>
      </c>
    </row>
    <row r="367" spans="1:2" x14ac:dyDescent="0.2">
      <c r="A367" t="s">
        <v>497</v>
      </c>
    </row>
    <row r="368" spans="1:2" x14ac:dyDescent="0.2">
      <c r="A368" t="s">
        <v>498</v>
      </c>
    </row>
    <row r="369" spans="1:1" x14ac:dyDescent="0.2">
      <c r="A369" t="s">
        <v>499</v>
      </c>
    </row>
    <row r="370" spans="1:1" x14ac:dyDescent="0.2">
      <c r="A370" t="s">
        <v>500</v>
      </c>
    </row>
    <row r="371" spans="1:1" x14ac:dyDescent="0.2">
      <c r="A371" t="s">
        <v>501</v>
      </c>
    </row>
    <row r="372" spans="1:1" x14ac:dyDescent="0.2">
      <c r="A372" t="s">
        <v>502</v>
      </c>
    </row>
    <row r="373" spans="1:1" x14ac:dyDescent="0.2">
      <c r="A373" t="s">
        <v>503</v>
      </c>
    </row>
    <row r="374" spans="1:1" x14ac:dyDescent="0.2">
      <c r="A374" t="s">
        <v>504</v>
      </c>
    </row>
    <row r="375" spans="1:1" x14ac:dyDescent="0.2">
      <c r="A375" t="s">
        <v>505</v>
      </c>
    </row>
    <row r="376" spans="1:1" x14ac:dyDescent="0.2">
      <c r="A376" t="s">
        <v>506</v>
      </c>
    </row>
    <row r="377" spans="1:1" x14ac:dyDescent="0.2">
      <c r="A377" t="s">
        <v>507</v>
      </c>
    </row>
    <row r="378" spans="1:1" x14ac:dyDescent="0.2">
      <c r="A378" t="s">
        <v>508</v>
      </c>
    </row>
    <row r="379" spans="1:1" x14ac:dyDescent="0.2">
      <c r="A379" t="s">
        <v>509</v>
      </c>
    </row>
    <row r="380" spans="1:1" x14ac:dyDescent="0.2">
      <c r="A380" t="s">
        <v>510</v>
      </c>
    </row>
    <row r="381" spans="1:1" x14ac:dyDescent="0.2">
      <c r="A381" t="s">
        <v>511</v>
      </c>
    </row>
    <row r="382" spans="1:1" x14ac:dyDescent="0.2">
      <c r="A382" t="s">
        <v>512</v>
      </c>
    </row>
    <row r="383" spans="1:1" x14ac:dyDescent="0.2">
      <c r="A383" t="s">
        <v>513</v>
      </c>
    </row>
    <row r="384" spans="1:1" x14ac:dyDescent="0.2">
      <c r="A384" t="s">
        <v>514</v>
      </c>
    </row>
    <row r="385" spans="1:1" x14ac:dyDescent="0.2">
      <c r="A385" t="s">
        <v>515</v>
      </c>
    </row>
    <row r="386" spans="1:1" x14ac:dyDescent="0.2">
      <c r="A386" t="s">
        <v>516</v>
      </c>
    </row>
    <row r="387" spans="1:1" x14ac:dyDescent="0.2">
      <c r="A387" t="s">
        <v>517</v>
      </c>
    </row>
    <row r="388" spans="1:1" x14ac:dyDescent="0.2">
      <c r="A388" t="s">
        <v>518</v>
      </c>
    </row>
    <row r="389" spans="1:1" x14ac:dyDescent="0.2">
      <c r="A389" t="s">
        <v>519</v>
      </c>
    </row>
    <row r="390" spans="1:1" x14ac:dyDescent="0.2">
      <c r="A390" t="s">
        <v>520</v>
      </c>
    </row>
    <row r="391" spans="1:1" x14ac:dyDescent="0.2">
      <c r="A391" t="s">
        <v>521</v>
      </c>
    </row>
    <row r="392" spans="1:1" x14ac:dyDescent="0.2">
      <c r="A392" t="s">
        <v>522</v>
      </c>
    </row>
    <row r="393" spans="1:1" x14ac:dyDescent="0.2">
      <c r="A393" t="s">
        <v>523</v>
      </c>
    </row>
    <row r="394" spans="1:1" x14ac:dyDescent="0.2">
      <c r="A394" t="s">
        <v>524</v>
      </c>
    </row>
    <row r="395" spans="1:1" x14ac:dyDescent="0.2">
      <c r="A395" t="s">
        <v>525</v>
      </c>
    </row>
    <row r="396" spans="1:1" x14ac:dyDescent="0.2">
      <c r="A396" t="s">
        <v>526</v>
      </c>
    </row>
    <row r="397" spans="1:1" x14ac:dyDescent="0.2">
      <c r="A397" t="s">
        <v>527</v>
      </c>
    </row>
    <row r="398" spans="1:1" x14ac:dyDescent="0.2">
      <c r="A398" t="s">
        <v>528</v>
      </c>
    </row>
    <row r="399" spans="1:1" x14ac:dyDescent="0.2">
      <c r="A399" t="s">
        <v>529</v>
      </c>
    </row>
    <row r="400" spans="1:1" x14ac:dyDescent="0.2">
      <c r="A400" t="s">
        <v>530</v>
      </c>
    </row>
    <row r="401" spans="1:1" x14ac:dyDescent="0.2">
      <c r="A401" t="s">
        <v>531</v>
      </c>
    </row>
    <row r="402" spans="1:1" x14ac:dyDescent="0.2">
      <c r="A402" t="s">
        <v>532</v>
      </c>
    </row>
    <row r="403" spans="1:1" x14ac:dyDescent="0.2">
      <c r="A403" t="s">
        <v>533</v>
      </c>
    </row>
    <row r="404" spans="1:1" x14ac:dyDescent="0.2">
      <c r="A404" t="s">
        <v>534</v>
      </c>
    </row>
    <row r="405" spans="1:1" x14ac:dyDescent="0.2">
      <c r="A405" t="s">
        <v>535</v>
      </c>
    </row>
    <row r="406" spans="1:1" x14ac:dyDescent="0.2">
      <c r="A406" t="s">
        <v>536</v>
      </c>
    </row>
    <row r="407" spans="1:1" x14ac:dyDescent="0.2">
      <c r="A407" t="s">
        <v>537</v>
      </c>
    </row>
    <row r="408" spans="1:1" x14ac:dyDescent="0.2">
      <c r="A408" t="s">
        <v>538</v>
      </c>
    </row>
    <row r="409" spans="1:1" x14ac:dyDescent="0.2">
      <c r="A409" t="s">
        <v>539</v>
      </c>
    </row>
    <row r="410" spans="1:1" x14ac:dyDescent="0.2">
      <c r="A410" t="s">
        <v>540</v>
      </c>
    </row>
    <row r="411" spans="1:1" x14ac:dyDescent="0.2">
      <c r="A411" t="s">
        <v>541</v>
      </c>
    </row>
    <row r="412" spans="1:1" x14ac:dyDescent="0.2">
      <c r="A412" t="s">
        <v>542</v>
      </c>
    </row>
    <row r="413" spans="1:1" x14ac:dyDescent="0.2">
      <c r="A413" t="s">
        <v>543</v>
      </c>
    </row>
    <row r="414" spans="1:1" x14ac:dyDescent="0.2">
      <c r="A414" t="s">
        <v>544</v>
      </c>
    </row>
    <row r="415" spans="1:1" x14ac:dyDescent="0.2">
      <c r="A415" t="s">
        <v>545</v>
      </c>
    </row>
    <row r="416" spans="1:1" x14ac:dyDescent="0.2">
      <c r="A416" t="s">
        <v>546</v>
      </c>
    </row>
    <row r="417" spans="1:1" x14ac:dyDescent="0.2">
      <c r="A417" t="s">
        <v>547</v>
      </c>
    </row>
    <row r="418" spans="1:1" x14ac:dyDescent="0.2">
      <c r="A418" t="s">
        <v>548</v>
      </c>
    </row>
    <row r="419" spans="1:1" x14ac:dyDescent="0.2">
      <c r="A419" t="s">
        <v>549</v>
      </c>
    </row>
    <row r="420" spans="1:1" x14ac:dyDescent="0.2">
      <c r="A420" t="s">
        <v>550</v>
      </c>
    </row>
    <row r="421" spans="1:1" x14ac:dyDescent="0.2">
      <c r="A421" t="s">
        <v>551</v>
      </c>
    </row>
    <row r="422" spans="1:1" x14ac:dyDescent="0.2">
      <c r="A422" t="s">
        <v>552</v>
      </c>
    </row>
    <row r="423" spans="1:1" x14ac:dyDescent="0.2">
      <c r="A423" t="s">
        <v>553</v>
      </c>
    </row>
    <row r="424" spans="1:1" x14ac:dyDescent="0.2">
      <c r="A424" t="s">
        <v>554</v>
      </c>
    </row>
    <row r="425" spans="1:1" x14ac:dyDescent="0.2">
      <c r="A425" t="s">
        <v>555</v>
      </c>
    </row>
    <row r="426" spans="1:1" x14ac:dyDescent="0.2">
      <c r="A426" t="s">
        <v>556</v>
      </c>
    </row>
    <row r="427" spans="1:1" x14ac:dyDescent="0.2">
      <c r="A427" t="s">
        <v>557</v>
      </c>
    </row>
    <row r="428" spans="1:1" x14ac:dyDescent="0.2">
      <c r="A428" t="s">
        <v>558</v>
      </c>
    </row>
    <row r="429" spans="1:1" x14ac:dyDescent="0.2">
      <c r="A429" t="s">
        <v>559</v>
      </c>
    </row>
    <row r="430" spans="1:1" x14ac:dyDescent="0.2">
      <c r="A430" t="s">
        <v>560</v>
      </c>
    </row>
    <row r="431" spans="1:1" x14ac:dyDescent="0.2">
      <c r="A431" t="s">
        <v>561</v>
      </c>
    </row>
    <row r="432" spans="1:1" x14ac:dyDescent="0.2">
      <c r="A432" t="s">
        <v>562</v>
      </c>
    </row>
    <row r="433" spans="1:1" x14ac:dyDescent="0.2">
      <c r="A433" t="s">
        <v>563</v>
      </c>
    </row>
    <row r="434" spans="1:1" x14ac:dyDescent="0.2">
      <c r="A434" t="s">
        <v>564</v>
      </c>
    </row>
    <row r="435" spans="1:1" x14ac:dyDescent="0.2">
      <c r="A435" t="s">
        <v>565</v>
      </c>
    </row>
    <row r="436" spans="1:1" x14ac:dyDescent="0.2">
      <c r="A436" t="s">
        <v>566</v>
      </c>
    </row>
    <row r="437" spans="1:1" x14ac:dyDescent="0.2">
      <c r="A437" t="s">
        <v>567</v>
      </c>
    </row>
    <row r="438" spans="1:1" x14ac:dyDescent="0.2">
      <c r="A438" t="s">
        <v>568</v>
      </c>
    </row>
    <row r="439" spans="1:1" x14ac:dyDescent="0.2">
      <c r="A439" t="s">
        <v>569</v>
      </c>
    </row>
    <row r="440" spans="1:1" x14ac:dyDescent="0.2">
      <c r="A440" t="s">
        <v>570</v>
      </c>
    </row>
    <row r="441" spans="1:1" x14ac:dyDescent="0.2">
      <c r="A441" t="s">
        <v>571</v>
      </c>
    </row>
    <row r="442" spans="1:1" x14ac:dyDescent="0.2">
      <c r="A442" t="s">
        <v>572</v>
      </c>
    </row>
    <row r="443" spans="1:1" x14ac:dyDescent="0.2">
      <c r="A443" t="s">
        <v>573</v>
      </c>
    </row>
    <row r="444" spans="1:1" x14ac:dyDescent="0.2">
      <c r="A444" t="s">
        <v>574</v>
      </c>
    </row>
    <row r="445" spans="1:1" x14ac:dyDescent="0.2">
      <c r="A445" t="s">
        <v>575</v>
      </c>
    </row>
    <row r="446" spans="1:1" x14ac:dyDescent="0.2">
      <c r="A446" t="s">
        <v>576</v>
      </c>
    </row>
    <row r="447" spans="1:1" x14ac:dyDescent="0.2">
      <c r="A447" t="s">
        <v>577</v>
      </c>
    </row>
    <row r="448" spans="1:1" x14ac:dyDescent="0.2">
      <c r="A448" t="s">
        <v>578</v>
      </c>
    </row>
    <row r="449" spans="1:1" x14ac:dyDescent="0.2">
      <c r="A449" t="s">
        <v>579</v>
      </c>
    </row>
    <row r="450" spans="1:1" x14ac:dyDescent="0.2">
      <c r="A450" t="s">
        <v>580</v>
      </c>
    </row>
    <row r="451" spans="1:1" x14ac:dyDescent="0.2">
      <c r="A451" t="s">
        <v>581</v>
      </c>
    </row>
    <row r="452" spans="1:1" x14ac:dyDescent="0.2">
      <c r="A452" t="s">
        <v>582</v>
      </c>
    </row>
    <row r="453" spans="1:1" x14ac:dyDescent="0.2">
      <c r="A453" t="s">
        <v>583</v>
      </c>
    </row>
    <row r="454" spans="1:1" x14ac:dyDescent="0.2">
      <c r="A454" t="s">
        <v>584</v>
      </c>
    </row>
    <row r="455" spans="1:1" x14ac:dyDescent="0.2">
      <c r="A455" t="s">
        <v>585</v>
      </c>
    </row>
    <row r="456" spans="1:1" x14ac:dyDescent="0.2">
      <c r="A456" t="s">
        <v>586</v>
      </c>
    </row>
    <row r="457" spans="1:1" x14ac:dyDescent="0.2">
      <c r="A457" t="s">
        <v>587</v>
      </c>
    </row>
    <row r="458" spans="1:1" x14ac:dyDescent="0.2">
      <c r="A458" t="s">
        <v>588</v>
      </c>
    </row>
    <row r="459" spans="1:1" x14ac:dyDescent="0.2">
      <c r="A459" t="s">
        <v>589</v>
      </c>
    </row>
    <row r="460" spans="1:1" x14ac:dyDescent="0.2">
      <c r="A460" t="s">
        <v>590</v>
      </c>
    </row>
    <row r="461" spans="1:1" x14ac:dyDescent="0.2">
      <c r="A461" t="s">
        <v>591</v>
      </c>
    </row>
    <row r="462" spans="1:1" x14ac:dyDescent="0.2">
      <c r="A462" t="s">
        <v>592</v>
      </c>
    </row>
    <row r="463" spans="1:1" x14ac:dyDescent="0.2">
      <c r="A463" t="s">
        <v>593</v>
      </c>
    </row>
    <row r="464" spans="1:1" x14ac:dyDescent="0.2">
      <c r="A464" t="s">
        <v>594</v>
      </c>
    </row>
    <row r="465" spans="1:1" x14ac:dyDescent="0.2">
      <c r="A465" t="s">
        <v>595</v>
      </c>
    </row>
    <row r="466" spans="1:1" x14ac:dyDescent="0.2">
      <c r="A466" t="s">
        <v>596</v>
      </c>
    </row>
    <row r="467" spans="1:1" x14ac:dyDescent="0.2">
      <c r="A467" t="s">
        <v>597</v>
      </c>
    </row>
    <row r="468" spans="1:1" x14ac:dyDescent="0.2">
      <c r="A468" t="s">
        <v>598</v>
      </c>
    </row>
    <row r="469" spans="1:1" x14ac:dyDescent="0.2">
      <c r="A469" t="s">
        <v>599</v>
      </c>
    </row>
    <row r="470" spans="1:1" x14ac:dyDescent="0.2">
      <c r="A470" t="s">
        <v>600</v>
      </c>
    </row>
    <row r="471" spans="1:1" x14ac:dyDescent="0.2">
      <c r="A471" t="s">
        <v>601</v>
      </c>
    </row>
    <row r="472" spans="1:1" x14ac:dyDescent="0.2">
      <c r="A472" t="s">
        <v>602</v>
      </c>
    </row>
    <row r="473" spans="1:1" x14ac:dyDescent="0.2">
      <c r="A473" t="s">
        <v>603</v>
      </c>
    </row>
    <row r="474" spans="1:1" x14ac:dyDescent="0.2">
      <c r="A474" t="s">
        <v>604</v>
      </c>
    </row>
    <row r="475" spans="1:1" x14ac:dyDescent="0.2">
      <c r="A475" t="s">
        <v>605</v>
      </c>
    </row>
    <row r="476" spans="1:1" x14ac:dyDescent="0.2">
      <c r="A476" t="s">
        <v>606</v>
      </c>
    </row>
    <row r="477" spans="1:1" x14ac:dyDescent="0.2">
      <c r="A477" t="s">
        <v>607</v>
      </c>
    </row>
    <row r="478" spans="1:1" x14ac:dyDescent="0.2">
      <c r="A478" t="s">
        <v>608</v>
      </c>
    </row>
    <row r="479" spans="1:1" x14ac:dyDescent="0.2">
      <c r="A479" t="s">
        <v>609</v>
      </c>
    </row>
    <row r="480" spans="1:1" x14ac:dyDescent="0.2">
      <c r="A480" t="s">
        <v>610</v>
      </c>
    </row>
    <row r="481" spans="1:1" x14ac:dyDescent="0.2">
      <c r="A481" t="s">
        <v>611</v>
      </c>
    </row>
    <row r="482" spans="1:1" x14ac:dyDescent="0.2">
      <c r="A482" t="s">
        <v>612</v>
      </c>
    </row>
    <row r="483" spans="1:1" x14ac:dyDescent="0.2">
      <c r="A483" t="s">
        <v>613</v>
      </c>
    </row>
    <row r="484" spans="1:1" x14ac:dyDescent="0.2">
      <c r="A484" t="s">
        <v>614</v>
      </c>
    </row>
    <row r="485" spans="1:1" x14ac:dyDescent="0.2">
      <c r="A485" t="s">
        <v>615</v>
      </c>
    </row>
    <row r="486" spans="1:1" x14ac:dyDescent="0.2">
      <c r="A486" t="s">
        <v>616</v>
      </c>
    </row>
    <row r="487" spans="1:1" x14ac:dyDescent="0.2">
      <c r="A487" t="s">
        <v>617</v>
      </c>
    </row>
    <row r="488" spans="1:1" x14ac:dyDescent="0.2">
      <c r="A488" t="s">
        <v>618</v>
      </c>
    </row>
    <row r="489" spans="1:1" x14ac:dyDescent="0.2">
      <c r="A489" t="s">
        <v>619</v>
      </c>
    </row>
    <row r="490" spans="1:1" x14ac:dyDescent="0.2">
      <c r="A490" t="s">
        <v>620</v>
      </c>
    </row>
    <row r="491" spans="1:1" x14ac:dyDescent="0.2">
      <c r="A491" t="s">
        <v>621</v>
      </c>
    </row>
    <row r="492" spans="1:1" x14ac:dyDescent="0.2">
      <c r="A492" t="s">
        <v>622</v>
      </c>
    </row>
    <row r="493" spans="1:1" x14ac:dyDescent="0.2">
      <c r="A493" t="s">
        <v>623</v>
      </c>
    </row>
    <row r="494" spans="1:1" x14ac:dyDescent="0.2">
      <c r="A494" t="s">
        <v>624</v>
      </c>
    </row>
    <row r="495" spans="1:1" x14ac:dyDescent="0.2">
      <c r="A495" t="s">
        <v>625</v>
      </c>
    </row>
    <row r="496" spans="1:1" x14ac:dyDescent="0.2">
      <c r="A496" t="s">
        <v>626</v>
      </c>
    </row>
    <row r="497" spans="1:1" x14ac:dyDescent="0.2">
      <c r="A497" t="s">
        <v>627</v>
      </c>
    </row>
    <row r="498" spans="1:1" x14ac:dyDescent="0.2">
      <c r="A498" t="s">
        <v>628</v>
      </c>
    </row>
    <row r="499" spans="1:1" x14ac:dyDescent="0.2">
      <c r="A499" t="s">
        <v>629</v>
      </c>
    </row>
    <row r="500" spans="1:1" x14ac:dyDescent="0.2">
      <c r="A500" t="s">
        <v>630</v>
      </c>
    </row>
    <row r="501" spans="1:1" x14ac:dyDescent="0.2">
      <c r="A501" t="s">
        <v>631</v>
      </c>
    </row>
    <row r="502" spans="1:1" x14ac:dyDescent="0.2">
      <c r="A502" t="s">
        <v>632</v>
      </c>
    </row>
    <row r="503" spans="1:1" x14ac:dyDescent="0.2">
      <c r="A503" t="s">
        <v>633</v>
      </c>
    </row>
    <row r="504" spans="1:1" x14ac:dyDescent="0.2">
      <c r="A504" t="s">
        <v>634</v>
      </c>
    </row>
    <row r="505" spans="1:1" x14ac:dyDescent="0.2">
      <c r="A505" t="s">
        <v>635</v>
      </c>
    </row>
    <row r="506" spans="1:1" x14ac:dyDescent="0.2">
      <c r="A506" t="s">
        <v>636</v>
      </c>
    </row>
    <row r="507" spans="1:1" x14ac:dyDescent="0.2">
      <c r="A507" t="s">
        <v>637</v>
      </c>
    </row>
    <row r="508" spans="1:1" x14ac:dyDescent="0.2">
      <c r="A508" t="s">
        <v>638</v>
      </c>
    </row>
    <row r="509" spans="1:1" x14ac:dyDescent="0.2">
      <c r="A509" t="s">
        <v>639</v>
      </c>
    </row>
    <row r="510" spans="1:1" x14ac:dyDescent="0.2">
      <c r="A510" t="s">
        <v>640</v>
      </c>
    </row>
    <row r="511" spans="1:1" x14ac:dyDescent="0.2">
      <c r="A511" t="s">
        <v>641</v>
      </c>
    </row>
    <row r="512" spans="1:1" x14ac:dyDescent="0.2">
      <c r="A512" t="s">
        <v>642</v>
      </c>
    </row>
    <row r="513" spans="1:1" x14ac:dyDescent="0.2">
      <c r="A513" t="s">
        <v>643</v>
      </c>
    </row>
    <row r="514" spans="1:1" x14ac:dyDescent="0.2">
      <c r="A514" t="s">
        <v>644</v>
      </c>
    </row>
    <row r="515" spans="1:1" x14ac:dyDescent="0.2">
      <c r="A515" t="s">
        <v>645</v>
      </c>
    </row>
    <row r="516" spans="1:1" x14ac:dyDescent="0.2">
      <c r="A516" t="s">
        <v>646</v>
      </c>
    </row>
    <row r="517" spans="1:1" x14ac:dyDescent="0.2">
      <c r="A517" t="s">
        <v>647</v>
      </c>
    </row>
    <row r="518" spans="1:1" x14ac:dyDescent="0.2">
      <c r="A518" t="s">
        <v>648</v>
      </c>
    </row>
    <row r="519" spans="1:1" x14ac:dyDescent="0.2">
      <c r="A519" t="s">
        <v>649</v>
      </c>
    </row>
    <row r="520" spans="1:1" x14ac:dyDescent="0.2">
      <c r="A520" t="s">
        <v>650</v>
      </c>
    </row>
    <row r="521" spans="1:1" x14ac:dyDescent="0.2">
      <c r="A521" t="s">
        <v>651</v>
      </c>
    </row>
    <row r="522" spans="1:1" x14ac:dyDescent="0.2">
      <c r="A522" t="s">
        <v>652</v>
      </c>
    </row>
    <row r="523" spans="1:1" x14ac:dyDescent="0.2">
      <c r="A523" t="s">
        <v>653</v>
      </c>
    </row>
    <row r="524" spans="1:1" x14ac:dyDescent="0.2">
      <c r="A524" t="s">
        <v>654</v>
      </c>
    </row>
    <row r="525" spans="1:1" x14ac:dyDescent="0.2">
      <c r="A525" t="s">
        <v>655</v>
      </c>
    </row>
    <row r="526" spans="1:1" x14ac:dyDescent="0.2">
      <c r="A526" t="s">
        <v>656</v>
      </c>
    </row>
    <row r="527" spans="1:1" x14ac:dyDescent="0.2">
      <c r="A527" t="s">
        <v>657</v>
      </c>
    </row>
    <row r="528" spans="1:1" x14ac:dyDescent="0.2">
      <c r="A528" t="s">
        <v>658</v>
      </c>
    </row>
    <row r="529" spans="1:1" x14ac:dyDescent="0.2">
      <c r="A529" t="s">
        <v>659</v>
      </c>
    </row>
    <row r="530" spans="1:1" x14ac:dyDescent="0.2">
      <c r="A530" t="s">
        <v>660</v>
      </c>
    </row>
    <row r="531" spans="1:1" x14ac:dyDescent="0.2">
      <c r="A531" t="s">
        <v>661</v>
      </c>
    </row>
    <row r="532" spans="1:1" x14ac:dyDescent="0.2">
      <c r="A532" t="s">
        <v>662</v>
      </c>
    </row>
    <row r="533" spans="1:1" x14ac:dyDescent="0.2">
      <c r="A533" t="s">
        <v>663</v>
      </c>
    </row>
    <row r="534" spans="1:1" x14ac:dyDescent="0.2">
      <c r="A534" t="s">
        <v>664</v>
      </c>
    </row>
    <row r="535" spans="1:1" x14ac:dyDescent="0.2">
      <c r="A535" t="s">
        <v>665</v>
      </c>
    </row>
    <row r="536" spans="1:1" x14ac:dyDescent="0.2">
      <c r="A536" t="s">
        <v>666</v>
      </c>
    </row>
    <row r="537" spans="1:1" x14ac:dyDescent="0.2">
      <c r="A537" t="s">
        <v>667</v>
      </c>
    </row>
    <row r="538" spans="1:1" x14ac:dyDescent="0.2">
      <c r="A538" t="s">
        <v>668</v>
      </c>
    </row>
    <row r="539" spans="1:1" x14ac:dyDescent="0.2">
      <c r="A539" t="s">
        <v>669</v>
      </c>
    </row>
    <row r="540" spans="1:1" x14ac:dyDescent="0.2">
      <c r="A540" t="s">
        <v>670</v>
      </c>
    </row>
    <row r="541" spans="1:1" x14ac:dyDescent="0.2">
      <c r="A541" t="s">
        <v>671</v>
      </c>
    </row>
    <row r="542" spans="1:1" x14ac:dyDescent="0.2">
      <c r="A542" t="s">
        <v>672</v>
      </c>
    </row>
    <row r="543" spans="1:1" x14ac:dyDescent="0.2">
      <c r="A543" t="s">
        <v>673</v>
      </c>
    </row>
    <row r="544" spans="1:1" x14ac:dyDescent="0.2">
      <c r="A544" t="s">
        <v>674</v>
      </c>
    </row>
    <row r="545" spans="1:1" x14ac:dyDescent="0.2">
      <c r="A545" t="s">
        <v>675</v>
      </c>
    </row>
    <row r="546" spans="1:1" x14ac:dyDescent="0.2">
      <c r="A546" t="s">
        <v>676</v>
      </c>
    </row>
    <row r="547" spans="1:1" x14ac:dyDescent="0.2">
      <c r="A547" t="s">
        <v>677</v>
      </c>
    </row>
    <row r="548" spans="1:1" x14ac:dyDescent="0.2">
      <c r="A548" t="s">
        <v>678</v>
      </c>
    </row>
    <row r="549" spans="1:1" x14ac:dyDescent="0.2">
      <c r="A549" t="s">
        <v>679</v>
      </c>
    </row>
    <row r="550" spans="1:1" x14ac:dyDescent="0.2">
      <c r="A550" t="s">
        <v>680</v>
      </c>
    </row>
    <row r="551" spans="1:1" x14ac:dyDescent="0.2">
      <c r="A551" t="s">
        <v>681</v>
      </c>
    </row>
    <row r="552" spans="1:1" x14ac:dyDescent="0.2">
      <c r="A552" t="s">
        <v>682</v>
      </c>
    </row>
    <row r="553" spans="1:1" x14ac:dyDescent="0.2">
      <c r="A553" t="s">
        <v>683</v>
      </c>
    </row>
    <row r="554" spans="1:1" x14ac:dyDescent="0.2">
      <c r="A554" t="s">
        <v>684</v>
      </c>
    </row>
    <row r="555" spans="1:1" x14ac:dyDescent="0.2">
      <c r="A555" t="s">
        <v>685</v>
      </c>
    </row>
    <row r="556" spans="1:1" x14ac:dyDescent="0.2">
      <c r="A556" t="s">
        <v>686</v>
      </c>
    </row>
    <row r="557" spans="1:1" x14ac:dyDescent="0.2">
      <c r="A557" t="s">
        <v>687</v>
      </c>
    </row>
    <row r="558" spans="1:1" x14ac:dyDescent="0.2">
      <c r="A558" t="s">
        <v>688</v>
      </c>
    </row>
    <row r="559" spans="1:1" x14ac:dyDescent="0.2">
      <c r="A559" t="s">
        <v>689</v>
      </c>
    </row>
    <row r="560" spans="1:1" x14ac:dyDescent="0.2">
      <c r="A560" t="s">
        <v>690</v>
      </c>
    </row>
    <row r="561" spans="1:1" x14ac:dyDescent="0.2">
      <c r="A561" t="s">
        <v>691</v>
      </c>
    </row>
    <row r="562" spans="1:1" x14ac:dyDescent="0.2">
      <c r="A562" t="s">
        <v>692</v>
      </c>
    </row>
    <row r="563" spans="1:1" x14ac:dyDescent="0.2">
      <c r="A563" t="s">
        <v>693</v>
      </c>
    </row>
    <row r="564" spans="1:1" x14ac:dyDescent="0.2">
      <c r="A564" t="s">
        <v>694</v>
      </c>
    </row>
    <row r="565" spans="1:1" x14ac:dyDescent="0.2">
      <c r="A565" t="s">
        <v>695</v>
      </c>
    </row>
    <row r="566" spans="1:1" x14ac:dyDescent="0.2">
      <c r="A566" t="s">
        <v>696</v>
      </c>
    </row>
    <row r="567" spans="1:1" x14ac:dyDescent="0.2">
      <c r="A567" t="s">
        <v>697</v>
      </c>
    </row>
    <row r="568" spans="1:1" x14ac:dyDescent="0.2">
      <c r="A568" t="s">
        <v>698</v>
      </c>
    </row>
    <row r="569" spans="1:1" x14ac:dyDescent="0.2">
      <c r="A569" t="s">
        <v>699</v>
      </c>
    </row>
    <row r="570" spans="1:1" x14ac:dyDescent="0.2">
      <c r="A570" t="s">
        <v>700</v>
      </c>
    </row>
    <row r="571" spans="1:1" x14ac:dyDescent="0.2">
      <c r="A571" t="s">
        <v>701</v>
      </c>
    </row>
    <row r="572" spans="1:1" x14ac:dyDescent="0.2">
      <c r="A572" t="s">
        <v>702</v>
      </c>
    </row>
    <row r="573" spans="1:1" x14ac:dyDescent="0.2">
      <c r="A573" t="s">
        <v>703</v>
      </c>
    </row>
    <row r="574" spans="1:1" x14ac:dyDescent="0.2">
      <c r="A574" t="s">
        <v>704</v>
      </c>
    </row>
    <row r="575" spans="1:1" x14ac:dyDescent="0.2">
      <c r="A575" t="s">
        <v>705</v>
      </c>
    </row>
    <row r="576" spans="1:1" x14ac:dyDescent="0.2">
      <c r="A576" t="s">
        <v>706</v>
      </c>
    </row>
    <row r="577" spans="1:1" x14ac:dyDescent="0.2">
      <c r="A577" t="s">
        <v>707</v>
      </c>
    </row>
    <row r="578" spans="1:1" x14ac:dyDescent="0.2">
      <c r="A578" t="s">
        <v>708</v>
      </c>
    </row>
    <row r="579" spans="1:1" x14ac:dyDescent="0.2">
      <c r="A579" t="s">
        <v>709</v>
      </c>
    </row>
    <row r="580" spans="1:1" x14ac:dyDescent="0.2">
      <c r="A580" t="s">
        <v>710</v>
      </c>
    </row>
    <row r="581" spans="1:1" x14ac:dyDescent="0.2">
      <c r="A581" t="s">
        <v>711</v>
      </c>
    </row>
    <row r="582" spans="1:1" x14ac:dyDescent="0.2">
      <c r="A582" t="s">
        <v>712</v>
      </c>
    </row>
    <row r="583" spans="1:1" x14ac:dyDescent="0.2">
      <c r="A583" t="s">
        <v>713</v>
      </c>
    </row>
    <row r="584" spans="1:1" x14ac:dyDescent="0.2">
      <c r="A584" t="s">
        <v>714</v>
      </c>
    </row>
    <row r="585" spans="1:1" x14ac:dyDescent="0.2">
      <c r="A585" t="s">
        <v>715</v>
      </c>
    </row>
    <row r="586" spans="1:1" x14ac:dyDescent="0.2">
      <c r="A586" t="s">
        <v>716</v>
      </c>
    </row>
    <row r="587" spans="1:1" x14ac:dyDescent="0.2">
      <c r="A587" t="s">
        <v>717</v>
      </c>
    </row>
    <row r="588" spans="1:1" x14ac:dyDescent="0.2">
      <c r="A588" t="s">
        <v>718</v>
      </c>
    </row>
    <row r="589" spans="1:1" x14ac:dyDescent="0.2">
      <c r="A589" t="s">
        <v>719</v>
      </c>
    </row>
    <row r="590" spans="1:1" x14ac:dyDescent="0.2">
      <c r="A590" t="s">
        <v>720</v>
      </c>
    </row>
    <row r="591" spans="1:1" x14ac:dyDescent="0.2">
      <c r="A591" t="s">
        <v>721</v>
      </c>
    </row>
    <row r="592" spans="1:1" x14ac:dyDescent="0.2">
      <c r="A592" t="s">
        <v>722</v>
      </c>
    </row>
    <row r="593" spans="1:1" x14ac:dyDescent="0.2">
      <c r="A593" t="s">
        <v>723</v>
      </c>
    </row>
    <row r="594" spans="1:1" x14ac:dyDescent="0.2">
      <c r="A594" t="s">
        <v>724</v>
      </c>
    </row>
    <row r="595" spans="1:1" x14ac:dyDescent="0.2">
      <c r="A595" t="s">
        <v>725</v>
      </c>
    </row>
    <row r="596" spans="1:1" x14ac:dyDescent="0.2">
      <c r="A596" t="s">
        <v>726</v>
      </c>
    </row>
    <row r="597" spans="1:1" x14ac:dyDescent="0.2">
      <c r="A597" t="s">
        <v>727</v>
      </c>
    </row>
    <row r="598" spans="1:1" x14ac:dyDescent="0.2">
      <c r="A598" t="s">
        <v>728</v>
      </c>
    </row>
    <row r="599" spans="1:1" x14ac:dyDescent="0.2">
      <c r="A599" t="s">
        <v>729</v>
      </c>
    </row>
    <row r="600" spans="1:1" x14ac:dyDescent="0.2">
      <c r="A600" t="s">
        <v>730</v>
      </c>
    </row>
    <row r="601" spans="1:1" x14ac:dyDescent="0.2">
      <c r="A601" t="s">
        <v>731</v>
      </c>
    </row>
    <row r="602" spans="1:1" x14ac:dyDescent="0.2">
      <c r="A602" t="s">
        <v>732</v>
      </c>
    </row>
    <row r="603" spans="1:1" x14ac:dyDescent="0.2">
      <c r="A603" t="s">
        <v>733</v>
      </c>
    </row>
    <row r="604" spans="1:1" x14ac:dyDescent="0.2">
      <c r="A604" t="s">
        <v>734</v>
      </c>
    </row>
    <row r="605" spans="1:1" x14ac:dyDescent="0.2">
      <c r="A605" t="s">
        <v>735</v>
      </c>
    </row>
    <row r="606" spans="1:1" x14ac:dyDescent="0.2">
      <c r="A606" t="s">
        <v>736</v>
      </c>
    </row>
    <row r="607" spans="1:1" x14ac:dyDescent="0.2">
      <c r="A607" t="s">
        <v>737</v>
      </c>
    </row>
    <row r="608" spans="1:1" x14ac:dyDescent="0.2">
      <c r="A608" t="s">
        <v>738</v>
      </c>
    </row>
    <row r="609" spans="1:1" x14ac:dyDescent="0.2">
      <c r="A609" t="s">
        <v>739</v>
      </c>
    </row>
    <row r="610" spans="1:1" x14ac:dyDescent="0.2">
      <c r="A610" t="s">
        <v>740</v>
      </c>
    </row>
    <row r="611" spans="1:1" x14ac:dyDescent="0.2">
      <c r="A611" t="s">
        <v>741</v>
      </c>
    </row>
    <row r="612" spans="1:1" x14ac:dyDescent="0.2">
      <c r="A612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tax_share</vt:lpstr>
      <vt:lpstr>tax_share_bydecile</vt:lpstr>
      <vt:lpstr>budget_share</vt:lpstr>
      <vt:lpstr>main_summary</vt:lpstr>
      <vt:lpstr>exempt_by_category</vt:lpstr>
      <vt:lpstr>vat_paid_and_foregone</vt:lpstr>
      <vt:lpstr>senior_summary</vt:lpstr>
      <vt:lpstr>main_summary-xx</vt:lpstr>
      <vt:lpstr>Sheet1</vt:lpstr>
      <vt:lpstr>EXEMPT CATS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2025-11-24T10:59:39Z</dcterms:created>
  <dcterms:modified xsi:type="dcterms:W3CDTF">2026-02-03T11:04:45Z</dcterms:modified>
</cp:coreProperties>
</file>