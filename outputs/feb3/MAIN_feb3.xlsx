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feb3/"/>
    </mc:Choice>
  </mc:AlternateContent>
  <xr:revisionPtr revIDLastSave="0" documentId="13_ncr:9_{02600D6E-6100-B540-B6C4-1B47785B35A6}" xr6:coauthVersionLast="47" xr6:coauthVersionMax="47" xr10:uidLastSave="{00000000-0000-0000-0000-000000000000}"/>
  <bookViews>
    <workbookView xWindow="2840" yWindow="600" windowWidth="26700" windowHeight="17440" activeTab="1" xr2:uid="{30613F82-6F92-CA4A-972E-4B9F4D12BC37}"/>
  </bookViews>
  <sheets>
    <sheet name="main_summary" sheetId="8" r:id="rId1"/>
    <sheet name="tax_share" sheetId="9" r:id="rId2"/>
    <sheet name="budget_share" sheetId="4" r:id="rId3"/>
    <sheet name="tax_share_bydecile" sheetId="3" r:id="rId4"/>
    <sheet name="exempt_by_category" sheetId="5" r:id="rId5"/>
    <sheet name="vat_paid_and_foregone" sheetId="6" r:id="rId6"/>
    <sheet name="senior_summary" sheetId="7" r:id="rId7"/>
    <sheet name="xxmain_summary" sheetId="1" r:id="rId8"/>
    <sheet name="xx-tax_share" sheetId="2" r:id="rId9"/>
  </sheets>
  <calcPr calcId="0"/>
</workbook>
</file>

<file path=xl/calcChain.xml><?xml version="1.0" encoding="utf-8"?>
<calcChain xmlns="http://schemas.openxmlformats.org/spreadsheetml/2006/main">
  <c r="H14" i="8" l="1"/>
  <c r="G14" i="8"/>
  <c r="F14" i="8"/>
  <c r="E14" i="8"/>
  <c r="D14" i="8"/>
  <c r="C14" i="8"/>
  <c r="H13" i="8"/>
  <c r="G13" i="8"/>
  <c r="F13" i="8"/>
  <c r="E13" i="8"/>
  <c r="D13" i="8"/>
  <c r="C13" i="8"/>
  <c r="H12" i="8"/>
  <c r="G12" i="8"/>
  <c r="F12" i="8"/>
  <c r="E12" i="8"/>
  <c r="D12" i="8"/>
  <c r="C12" i="8"/>
  <c r="B12" i="8"/>
  <c r="E14" i="1"/>
  <c r="E15" i="1" s="1"/>
  <c r="D15" i="1"/>
  <c r="D14" i="1"/>
  <c r="C15" i="1" l="1"/>
  <c r="C14" i="1"/>
  <c r="D13" i="1"/>
  <c r="C13" i="1"/>
  <c r="G12" i="1"/>
  <c r="F12" i="1"/>
  <c r="E12" i="1"/>
  <c r="D12" i="1"/>
  <c r="C12" i="1"/>
  <c r="B12" i="1"/>
</calcChain>
</file>

<file path=xl/sharedStrings.xml><?xml version="1.0" encoding="utf-8"?>
<sst xmlns="http://schemas.openxmlformats.org/spreadsheetml/2006/main" count="148" uniqueCount="76">
  <si>
    <t>NPCINC</t>
  </si>
  <si>
    <t>number_households</t>
  </si>
  <si>
    <t>total_vatable_expenditures</t>
  </si>
  <si>
    <t>total_exempt_expenditures</t>
  </si>
  <si>
    <t>total_expenditures</t>
  </si>
  <si>
    <t>total_vat_paid</t>
  </si>
  <si>
    <t>total_vat_foregone</t>
  </si>
  <si>
    <t>avg_vat_etr</t>
  </si>
  <si>
    <t>avg_vat_foregone_etr</t>
  </si>
  <si>
    <t>sum_vat_etr</t>
  </si>
  <si>
    <t>sum_vat_foregone_etr</t>
  </si>
  <si>
    <t>exempt_share_HHexp</t>
  </si>
  <si>
    <t>vatable_share_HHexp</t>
  </si>
  <si>
    <t>exempt_share_income</t>
  </si>
  <si>
    <t>vatable_share_income</t>
  </si>
  <si>
    <t>exempt_share_exp</t>
  </si>
  <si>
    <t>vatable_share_exp</t>
  </si>
  <si>
    <t>exempt_expenditures</t>
  </si>
  <si>
    <t>vatable_expenditures</t>
  </si>
  <si>
    <t>total_HH_expenditures</t>
  </si>
  <si>
    <t>total_income</t>
  </si>
  <si>
    <t>exempt_share_decile</t>
  </si>
  <si>
    <t>vatable_share_decile</t>
  </si>
  <si>
    <t>family_occasions_share</t>
  </si>
  <si>
    <t>personal_care_share</t>
  </si>
  <si>
    <t>insurance_&amp;financial_share</t>
  </si>
  <si>
    <t>resto_&amp;accomodation_share</t>
  </si>
  <si>
    <t>education_share</t>
  </si>
  <si>
    <t>recreation_share</t>
  </si>
  <si>
    <t>ict_&amp;equipments_share</t>
  </si>
  <si>
    <t>transport_share</t>
  </si>
  <si>
    <t>health_share</t>
  </si>
  <si>
    <t>furnishings_&amp;maintenance_share</t>
  </si>
  <si>
    <t>housing_&amp;utilities_share</t>
  </si>
  <si>
    <t>clothing_share</t>
  </si>
  <si>
    <t>alcohol_&amp;cigarettes_share</t>
  </si>
  <si>
    <t>food_share</t>
  </si>
  <si>
    <t>family_occasions</t>
  </si>
  <si>
    <t>personal_care</t>
  </si>
  <si>
    <t>insurance_&amp;financial</t>
  </si>
  <si>
    <t>resto_&amp;accomodation</t>
  </si>
  <si>
    <t>education</t>
  </si>
  <si>
    <t>recreation</t>
  </si>
  <si>
    <t>ict_&amp;equipments</t>
  </si>
  <si>
    <t>transport</t>
  </si>
  <si>
    <t>health</t>
  </si>
  <si>
    <t>furnishings_&amp;maintenance</t>
  </si>
  <si>
    <t>housing_&amp;utilities</t>
  </si>
  <si>
    <t>clothing</t>
  </si>
  <si>
    <t>alcohol_&amp;cigarettes</t>
  </si>
  <si>
    <t>food</t>
  </si>
  <si>
    <t>insurance_&amp;financial_exempt_share</t>
  </si>
  <si>
    <t>education_exempt_share</t>
  </si>
  <si>
    <t>recreation_exempt_share</t>
  </si>
  <si>
    <t>transport_exempt_share</t>
  </si>
  <si>
    <t>health_exempt_share</t>
  </si>
  <si>
    <t>furnishings_&amp;maintenance_exempt_share</t>
  </si>
  <si>
    <t>housing_&amp;utilities_exempt_share</t>
  </si>
  <si>
    <t>food_exempt_share</t>
  </si>
  <si>
    <t>insurance_&amp;financial_exempt</t>
  </si>
  <si>
    <t>education_exempt</t>
  </si>
  <si>
    <t>recreation_exempt</t>
  </si>
  <si>
    <t>transport_exempt</t>
  </si>
  <si>
    <t>health_exempt</t>
  </si>
  <si>
    <t>furnishings_&amp;maintenance_exempt</t>
  </si>
  <si>
    <t>housing_&amp;utilities_exempt</t>
  </si>
  <si>
    <t>food_exempt</t>
  </si>
  <si>
    <t>effective_vat_rate</t>
  </si>
  <si>
    <t>estimated_vat_foregone</t>
  </si>
  <si>
    <t>estimated_vat_paid</t>
  </si>
  <si>
    <t>avg_vat_to_total</t>
  </si>
  <si>
    <t>weighted_number_seniors</t>
  </si>
  <si>
    <t>number_seniors</t>
  </si>
  <si>
    <t>number_households_with_seniors</t>
  </si>
  <si>
    <t>TOTAL</t>
  </si>
  <si>
    <t>total_FIES_expenditures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</si>
</sst>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0" fontId="18" fillId="0" borderId="0" xfId="0" applyFont="1"/>
    <xf numFmtId="165" fontId="18" fillId="0" borderId="0" xfId="0" applyNumberFormat="1" applyFont="1"/>
    <xf numFmtId="9" fontId="0" fillId="0" borderId="0" xfId="2" applyFont="1"/>
    <xf numFmtId="0" fontId="0" fillId="0" borderId="0" xfId="0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1394-706D-0343-8872-CA70AAC10029}">
  <dimension ref="A1:L14"/>
  <sheetViews>
    <sheetView zoomScale="120" zoomScaleNormal="120" workbookViewId="0">
      <selection activeCell="G19" sqref="G19"/>
    </sheetView>
  </sheetViews>
  <sheetFormatPr baseColWidth="10" defaultRowHeight="16" x14ac:dyDescent="0.2"/>
  <cols>
    <col min="2" max="2" width="17.5" bestFit="1" customWidth="1"/>
    <col min="3" max="4" width="23.5" bestFit="1" customWidth="1"/>
    <col min="5" max="7" width="20" customWidth="1"/>
    <col min="8" max="8" width="20.83203125" bestFit="1" customWidth="1"/>
    <col min="9" max="12" width="11" bestFit="1" customWidth="1"/>
  </cols>
  <sheetData>
    <row r="1" spans="1:12" s="7" customForma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75</v>
      </c>
      <c r="I1" s="7" t="s">
        <v>7</v>
      </c>
      <c r="J1" s="7" t="s">
        <v>8</v>
      </c>
      <c r="K1" s="7" t="s">
        <v>9</v>
      </c>
      <c r="L1" s="7" t="s">
        <v>10</v>
      </c>
    </row>
    <row r="2" spans="1:12" x14ac:dyDescent="0.2">
      <c r="A2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2">
        <v>29276373226.599098</v>
      </c>
      <c r="I2" s="1">
        <v>5.7081655079756999</v>
      </c>
      <c r="J2" s="1">
        <v>6.2918344920242903</v>
      </c>
      <c r="K2" s="1">
        <v>5.7583286375449596</v>
      </c>
      <c r="L2" s="1">
        <v>6.2416713624550297</v>
      </c>
    </row>
    <row r="3" spans="1:12" x14ac:dyDescent="0.2">
      <c r="A3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2">
        <v>35426039310.566101</v>
      </c>
      <c r="I3" s="1">
        <v>6.0303049401519999</v>
      </c>
      <c r="J3" s="1">
        <v>5.9696950598479903</v>
      </c>
      <c r="K3" s="1">
        <v>6.11942752653938</v>
      </c>
      <c r="L3" s="1">
        <v>5.8805724734606102</v>
      </c>
    </row>
    <row r="4" spans="1:12" x14ac:dyDescent="0.2">
      <c r="A4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2">
        <v>39497871055.729301</v>
      </c>
      <c r="I4" s="1">
        <v>6.1898610711613902</v>
      </c>
      <c r="J4" s="1">
        <v>5.8101389288386098</v>
      </c>
      <c r="K4" s="1">
        <v>6.3242175452557801</v>
      </c>
      <c r="L4" s="1">
        <v>5.6757824547442102</v>
      </c>
    </row>
    <row r="5" spans="1:12" x14ac:dyDescent="0.2">
      <c r="A5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2">
        <v>44792749154.822098</v>
      </c>
      <c r="I5" s="1">
        <v>6.2902942340410304</v>
      </c>
      <c r="J5" s="1">
        <v>5.7097057659589598</v>
      </c>
      <c r="K5" s="1">
        <v>6.4297615001495503</v>
      </c>
      <c r="L5" s="1">
        <v>5.57023849985044</v>
      </c>
    </row>
    <row r="6" spans="1:12" x14ac:dyDescent="0.2">
      <c r="A6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2">
        <v>49501029635.587097</v>
      </c>
      <c r="I6" s="1">
        <v>6.4047799708266</v>
      </c>
      <c r="J6" s="1">
        <v>5.5952200291733902</v>
      </c>
      <c r="K6" s="1">
        <v>6.5727424050960996</v>
      </c>
      <c r="L6" s="1">
        <v>5.4272575949038897</v>
      </c>
    </row>
    <row r="7" spans="1:12" x14ac:dyDescent="0.2">
      <c r="A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2">
        <v>54853430904.834999</v>
      </c>
      <c r="I7" s="1">
        <v>6.4988720176579404</v>
      </c>
      <c r="J7" s="1">
        <v>5.5011279823420498</v>
      </c>
      <c r="K7" s="1">
        <v>6.6580297001878996</v>
      </c>
      <c r="L7" s="1">
        <v>5.3419702998121004</v>
      </c>
    </row>
    <row r="8" spans="1:12" x14ac:dyDescent="0.2">
      <c r="A8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2">
        <v>60962714759.237099</v>
      </c>
      <c r="I8" s="1">
        <v>6.62365764514223</v>
      </c>
      <c r="J8" s="1">
        <v>5.3763423548577602</v>
      </c>
      <c r="K8" s="1">
        <v>6.7473195726046598</v>
      </c>
      <c r="L8" s="1">
        <v>5.2526804273953296</v>
      </c>
    </row>
    <row r="9" spans="1:12" x14ac:dyDescent="0.2">
      <c r="A9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2">
        <v>69592985603.748001</v>
      </c>
      <c r="I9" s="1">
        <v>6.7137976077127703</v>
      </c>
      <c r="J9" s="1">
        <v>5.2862023922872199</v>
      </c>
      <c r="K9" s="1">
        <v>6.8176853443688001</v>
      </c>
      <c r="L9" s="1">
        <v>5.1823146556311901</v>
      </c>
    </row>
    <row r="10" spans="1:12" x14ac:dyDescent="0.2">
      <c r="A10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2">
        <v>82061193028.969299</v>
      </c>
      <c r="I10" s="1">
        <v>6.8620584936718902</v>
      </c>
      <c r="J10" s="1">
        <v>5.1379415063281</v>
      </c>
      <c r="K10" s="1">
        <v>6.9549012826010399</v>
      </c>
      <c r="L10" s="1">
        <v>5.0450987173989601</v>
      </c>
    </row>
    <row r="11" spans="1:12" x14ac:dyDescent="0.2">
      <c r="A1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2">
        <v>124958992792.82401</v>
      </c>
      <c r="I11" s="1">
        <v>7.1193827019703901</v>
      </c>
      <c r="J11" s="1">
        <v>4.8806172980296099</v>
      </c>
      <c r="K11" s="1">
        <v>7.2019471694935504</v>
      </c>
      <c r="L11" s="1">
        <v>4.7980528305064398</v>
      </c>
    </row>
    <row r="12" spans="1:12" s="4" customFormat="1" x14ac:dyDescent="0.2">
      <c r="A12" s="4" t="s">
        <v>74</v>
      </c>
      <c r="B12" s="5">
        <f>SUM(B2:B11)</f>
        <v>27479695.00677811</v>
      </c>
      <c r="C12" s="5">
        <f>SUM(C2:C11)</f>
        <v>283018492377.6701</v>
      </c>
      <c r="D12" s="5">
        <f>SUM(D2:D11)</f>
        <v>223463602629.93637</v>
      </c>
      <c r="E12" s="5">
        <f>SUM(E2:E11)</f>
        <v>506482095007.60669</v>
      </c>
      <c r="F12" s="5">
        <f>SUM(F2:F11)</f>
        <v>33962219085.320412</v>
      </c>
      <c r="G12" s="5">
        <f>SUM(G2:G11)</f>
        <v>26815632315.592361</v>
      </c>
      <c r="H12" s="5">
        <f>SUM(H2:H11)</f>
        <v>590923379472.91711</v>
      </c>
    </row>
    <row r="13" spans="1:12" x14ac:dyDescent="0.2">
      <c r="C13" s="3">
        <f>C12*12</f>
        <v>3396221908532.041</v>
      </c>
      <c r="D13" s="3">
        <f>D12*12</f>
        <v>2681563231559.2363</v>
      </c>
      <c r="E13" s="3">
        <f>E12*12</f>
        <v>6077785140091.2803</v>
      </c>
      <c r="F13" s="3">
        <f>F12*12</f>
        <v>407546629023.84497</v>
      </c>
      <c r="G13" s="3">
        <f>G12*12</f>
        <v>321787587787.10834</v>
      </c>
      <c r="H13" s="3">
        <f>H12*12</f>
        <v>7091080553675.0059</v>
      </c>
    </row>
    <row r="14" spans="1:12" x14ac:dyDescent="0.2">
      <c r="C14" s="3">
        <f>C13*0.12</f>
        <v>407546629023.84491</v>
      </c>
      <c r="D14" s="3">
        <f t="shared" ref="D14:H14" si="0">D13*0.12</f>
        <v>321787587787.10834</v>
      </c>
      <c r="E14" s="3">
        <f t="shared" si="0"/>
        <v>729334216810.95361</v>
      </c>
      <c r="F14" s="3">
        <f t="shared" si="0"/>
        <v>48905595482.861397</v>
      </c>
      <c r="G14" s="3">
        <f t="shared" si="0"/>
        <v>38614510534.452995</v>
      </c>
      <c r="H14" s="3">
        <f t="shared" si="0"/>
        <v>850929666441.00073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25A2E-EC98-B848-9690-8DF0D559F542}">
  <dimension ref="A1:M11"/>
  <sheetViews>
    <sheetView tabSelected="1" workbookViewId="0">
      <selection activeCell="F23" sqref="F23"/>
    </sheetView>
  </sheetViews>
  <sheetFormatPr baseColWidth="10" defaultRowHeight="16" x14ac:dyDescent="0.2"/>
  <cols>
    <col min="2" max="2" width="17.5" bestFit="1" customWidth="1"/>
    <col min="3" max="3" width="18.6640625" bestFit="1" customWidth="1"/>
    <col min="4" max="4" width="20.83203125" bestFit="1" customWidth="1"/>
    <col min="5" max="6" width="17.6640625" bestFit="1" customWidth="1"/>
    <col min="7" max="7" width="18.6640625" bestFit="1" customWidth="1"/>
    <col min="8" max="13" width="11" bestFit="1" customWidth="1"/>
  </cols>
  <sheetData>
    <row r="1" spans="1:13" x14ac:dyDescent="0.2">
      <c r="A1" t="s">
        <v>0</v>
      </c>
      <c r="B1" t="s">
        <v>1</v>
      </c>
      <c r="C1" t="s">
        <v>20</v>
      </c>
      <c r="D1" t="s">
        <v>75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</row>
    <row r="2" spans="1:13" x14ac:dyDescent="0.2">
      <c r="A2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</row>
    <row r="3" spans="1:13" x14ac:dyDescent="0.2">
      <c r="A3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</row>
    <row r="4" spans="1:13" x14ac:dyDescent="0.2">
      <c r="A4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</row>
    <row r="5" spans="1:13" x14ac:dyDescent="0.2">
      <c r="A5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</row>
    <row r="6" spans="1:13" x14ac:dyDescent="0.2">
      <c r="A6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</row>
    <row r="7" spans="1:13" x14ac:dyDescent="0.2">
      <c r="A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</row>
    <row r="8" spans="1:13" x14ac:dyDescent="0.2">
      <c r="A8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</row>
    <row r="9" spans="1:13" x14ac:dyDescent="0.2">
      <c r="A9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</row>
    <row r="10" spans="1:13" x14ac:dyDescent="0.2">
      <c r="A10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</row>
    <row r="11" spans="1:13" x14ac:dyDescent="0.2">
      <c r="A11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5A1A-41B0-1E41-913C-6E5BC0F82ED3}">
  <dimension ref="A1:AE11"/>
  <sheetViews>
    <sheetView workbookViewId="0">
      <selection activeCell="P17" sqref="P17"/>
    </sheetView>
  </sheetViews>
  <sheetFormatPr baseColWidth="10" defaultRowHeight="16" x14ac:dyDescent="0.2"/>
  <sheetData>
    <row r="1" spans="1:31" x14ac:dyDescent="0.2">
      <c r="A1" t="s">
        <v>0</v>
      </c>
      <c r="B1" t="s">
        <v>1</v>
      </c>
      <c r="C1" t="s">
        <v>50</v>
      </c>
      <c r="D1" t="s">
        <v>49</v>
      </c>
      <c r="E1" t="s">
        <v>48</v>
      </c>
      <c r="F1" t="s">
        <v>47</v>
      </c>
      <c r="G1" t="s">
        <v>46</v>
      </c>
      <c r="H1" t="s">
        <v>45</v>
      </c>
      <c r="I1" t="s">
        <v>44</v>
      </c>
      <c r="J1" t="s">
        <v>43</v>
      </c>
      <c r="K1" t="s">
        <v>42</v>
      </c>
      <c r="L1" t="s">
        <v>41</v>
      </c>
      <c r="M1" t="s">
        <v>40</v>
      </c>
      <c r="N1" t="s">
        <v>39</v>
      </c>
      <c r="O1" t="s">
        <v>38</v>
      </c>
      <c r="P1" t="s">
        <v>37</v>
      </c>
      <c r="Q1" t="s">
        <v>4</v>
      </c>
      <c r="R1" t="s">
        <v>36</v>
      </c>
      <c r="S1" t="s">
        <v>35</v>
      </c>
      <c r="T1" t="s">
        <v>34</v>
      </c>
      <c r="U1" t="s">
        <v>33</v>
      </c>
      <c r="V1" t="s">
        <v>32</v>
      </c>
      <c r="W1" t="s">
        <v>31</v>
      </c>
      <c r="X1" t="s">
        <v>30</v>
      </c>
      <c r="Y1" t="s">
        <v>29</v>
      </c>
      <c r="Z1" t="s">
        <v>28</v>
      </c>
      <c r="AA1" t="s">
        <v>27</v>
      </c>
      <c r="AB1" t="s">
        <v>26</v>
      </c>
      <c r="AC1" t="s">
        <v>25</v>
      </c>
      <c r="AD1" t="s">
        <v>24</v>
      </c>
      <c r="AE1" t="s">
        <v>23</v>
      </c>
    </row>
    <row r="2" spans="1:31" x14ac:dyDescent="0.2">
      <c r="A2">
        <v>1</v>
      </c>
      <c r="B2">
        <v>2747642.50515944</v>
      </c>
      <c r="C2">
        <v>15990838401.663799</v>
      </c>
      <c r="D2">
        <v>532822247.77749002</v>
      </c>
      <c r="E2">
        <v>564853994.856848</v>
      </c>
      <c r="F2">
        <v>2363671157.2529802</v>
      </c>
      <c r="G2">
        <v>730437484.37439799</v>
      </c>
      <c r="H2">
        <v>408542791.85708499</v>
      </c>
      <c r="I2">
        <v>1647689285.14065</v>
      </c>
      <c r="J2">
        <v>570623163.44423401</v>
      </c>
      <c r="K2">
        <v>234558957.221908</v>
      </c>
      <c r="L2">
        <v>778563951.59147406</v>
      </c>
      <c r="M2">
        <v>874077739.09213305</v>
      </c>
      <c r="N2">
        <v>118238780.85100999</v>
      </c>
      <c r="O2">
        <v>1275190823.7764201</v>
      </c>
      <c r="P2">
        <v>440270749.19526398</v>
      </c>
      <c r="Q2">
        <v>26530379528.095798</v>
      </c>
      <c r="R2">
        <v>60.273688828045202</v>
      </c>
      <c r="S2">
        <v>2.0083476273425598</v>
      </c>
      <c r="T2">
        <v>2.1290837330791499</v>
      </c>
      <c r="U2">
        <v>8.9093002033757003</v>
      </c>
      <c r="V2">
        <v>2.7532115912660098</v>
      </c>
      <c r="W2">
        <v>1.5399055691021499</v>
      </c>
      <c r="X2">
        <v>6.2105756285760796</v>
      </c>
      <c r="Y2">
        <v>2.1508292515753098</v>
      </c>
      <c r="Z2">
        <v>0.88411459388852598</v>
      </c>
      <c r="AA2">
        <v>2.9346129435011301</v>
      </c>
      <c r="AB2">
        <v>3.2946296081685502</v>
      </c>
      <c r="AC2">
        <v>0.445673160181499</v>
      </c>
      <c r="AD2">
        <v>4.8065306507432002</v>
      </c>
      <c r="AE2">
        <v>1.6594966111548199</v>
      </c>
    </row>
    <row r="3" spans="1:31" x14ac:dyDescent="0.2">
      <c r="A3">
        <v>2</v>
      </c>
      <c r="B3">
        <v>2748295.6540946802</v>
      </c>
      <c r="C3">
        <v>17716769683.024899</v>
      </c>
      <c r="D3">
        <v>679454265.27848995</v>
      </c>
      <c r="E3">
        <v>654181871.97005904</v>
      </c>
      <c r="F3">
        <v>3153423828.3287702</v>
      </c>
      <c r="G3">
        <v>881410870.81025696</v>
      </c>
      <c r="H3">
        <v>588463889.93382394</v>
      </c>
      <c r="I3">
        <v>2209567133.0144501</v>
      </c>
      <c r="J3">
        <v>881329606.77100205</v>
      </c>
      <c r="K3">
        <v>261434219.26473999</v>
      </c>
      <c r="L3">
        <v>988601374.00612104</v>
      </c>
      <c r="M3">
        <v>1383777550.8020301</v>
      </c>
      <c r="N3">
        <v>261001773.656665</v>
      </c>
      <c r="O3">
        <v>1481422342.8584399</v>
      </c>
      <c r="P3">
        <v>571700074.899122</v>
      </c>
      <c r="Q3">
        <v>31712538484.6189</v>
      </c>
      <c r="R3">
        <v>55.866766047813698</v>
      </c>
      <c r="S3">
        <v>2.1425413976494898</v>
      </c>
      <c r="T3">
        <v>2.06284928053724</v>
      </c>
      <c r="U3">
        <v>9.9437761182638393</v>
      </c>
      <c r="V3">
        <v>2.7793765902333898</v>
      </c>
      <c r="W3">
        <v>1.8556190013588401</v>
      </c>
      <c r="X3">
        <v>6.9674874311500696</v>
      </c>
      <c r="Y3">
        <v>2.7791203381541298</v>
      </c>
      <c r="Z3">
        <v>0.82438755065772895</v>
      </c>
      <c r="AA3">
        <v>3.1173832851179801</v>
      </c>
      <c r="AB3">
        <v>4.3635029452882899</v>
      </c>
      <c r="AC3">
        <v>0.82302390829814798</v>
      </c>
      <c r="AD3">
        <v>4.6714088926591497</v>
      </c>
      <c r="AE3">
        <v>1.8027572128178999</v>
      </c>
    </row>
    <row r="4" spans="1:31" x14ac:dyDescent="0.2">
      <c r="A4">
        <v>3</v>
      </c>
      <c r="B4">
        <v>2747874.69444041</v>
      </c>
      <c r="C4">
        <v>18475048280.205399</v>
      </c>
      <c r="D4">
        <v>723181191.12306404</v>
      </c>
      <c r="E4">
        <v>696214900.67047298</v>
      </c>
      <c r="F4">
        <v>3882408437.6120601</v>
      </c>
      <c r="G4">
        <v>974659334.59175599</v>
      </c>
      <c r="H4">
        <v>703343414.58053601</v>
      </c>
      <c r="I4">
        <v>2648397049.2077498</v>
      </c>
      <c r="J4">
        <v>1136884432.5229299</v>
      </c>
      <c r="K4">
        <v>264581837.98253599</v>
      </c>
      <c r="L4">
        <v>1068174669.81612</v>
      </c>
      <c r="M4">
        <v>1842159837.16152</v>
      </c>
      <c r="N4">
        <v>388142803.27591199</v>
      </c>
      <c r="O4">
        <v>1602883322.36692</v>
      </c>
      <c r="P4">
        <v>682648088.63905203</v>
      </c>
      <c r="Q4">
        <v>35088727599.756104</v>
      </c>
      <c r="R4">
        <v>52.652374548725</v>
      </c>
      <c r="S4">
        <v>2.0610071683764599</v>
      </c>
      <c r="T4">
        <v>1.9841554490431601</v>
      </c>
      <c r="U4">
        <v>11.064546089836099</v>
      </c>
      <c r="V4">
        <v>2.7776992819726201</v>
      </c>
      <c r="W4">
        <v>2.0044711298833899</v>
      </c>
      <c r="X4">
        <v>7.5477146946364604</v>
      </c>
      <c r="Y4">
        <v>3.2400275253378901</v>
      </c>
      <c r="Z4">
        <v>0.75403656980817901</v>
      </c>
      <c r="AA4">
        <v>3.0442103287425701</v>
      </c>
      <c r="AB4">
        <v>5.2500046686626796</v>
      </c>
      <c r="AC4">
        <v>1.1061752016297399</v>
      </c>
      <c r="AD4">
        <v>4.5680861975116702</v>
      </c>
      <c r="AE4">
        <v>1.9454911458339601</v>
      </c>
    </row>
    <row r="5" spans="1:31" x14ac:dyDescent="0.2">
      <c r="A5">
        <v>4</v>
      </c>
      <c r="B5">
        <v>2747979.4784429399</v>
      </c>
      <c r="C5">
        <v>19578006372.944302</v>
      </c>
      <c r="D5">
        <v>829365937.75525296</v>
      </c>
      <c r="E5">
        <v>770862790.78202701</v>
      </c>
      <c r="F5">
        <v>4691240386.4801998</v>
      </c>
      <c r="G5">
        <v>1113292305.38515</v>
      </c>
      <c r="H5">
        <v>933054622.611678</v>
      </c>
      <c r="I5">
        <v>3056504343.7639899</v>
      </c>
      <c r="J5">
        <v>1517334535.48276</v>
      </c>
      <c r="K5">
        <v>292882708.84662002</v>
      </c>
      <c r="L5">
        <v>1248776335.51882</v>
      </c>
      <c r="M5">
        <v>2308756955.5985999</v>
      </c>
      <c r="N5">
        <v>607037385.94030905</v>
      </c>
      <c r="O5">
        <v>1785484458.45786</v>
      </c>
      <c r="P5">
        <v>785297271.27958596</v>
      </c>
      <c r="Q5">
        <v>39517896410.847198</v>
      </c>
      <c r="R5">
        <v>49.542126861718202</v>
      </c>
      <c r="S5">
        <v>2.0987097317447301</v>
      </c>
      <c r="T5">
        <v>1.95066757290864</v>
      </c>
      <c r="U5">
        <v>11.871179421363401</v>
      </c>
      <c r="V5">
        <v>2.8171851401472101</v>
      </c>
      <c r="W5">
        <v>2.3610938520390601</v>
      </c>
      <c r="X5">
        <v>7.7344813903733396</v>
      </c>
      <c r="Y5">
        <v>3.8396136264638598</v>
      </c>
      <c r="Z5">
        <v>0.74113942149569301</v>
      </c>
      <c r="AA5">
        <v>3.1600273520025999</v>
      </c>
      <c r="AB5">
        <v>5.8423073222209299</v>
      </c>
      <c r="AC5">
        <v>1.5361075387952201</v>
      </c>
      <c r="AD5">
        <v>4.5181667563857699</v>
      </c>
      <c r="AE5">
        <v>1.9871940123412799</v>
      </c>
    </row>
    <row r="6" spans="1:31" x14ac:dyDescent="0.2">
      <c r="A6">
        <v>5</v>
      </c>
      <c r="B6">
        <v>2747628.8515828899</v>
      </c>
      <c r="C6">
        <v>20466134261.536098</v>
      </c>
      <c r="D6">
        <v>892867580.11971104</v>
      </c>
      <c r="E6">
        <v>839266737.99279499</v>
      </c>
      <c r="F6">
        <v>5463892030.0346498</v>
      </c>
      <c r="G6">
        <v>1238236380.6538501</v>
      </c>
      <c r="H6">
        <v>1154659765.21594</v>
      </c>
      <c r="I6">
        <v>3427165351.26724</v>
      </c>
      <c r="J6">
        <v>1841722620.6008601</v>
      </c>
      <c r="K6">
        <v>309018805.18247998</v>
      </c>
      <c r="L6">
        <v>1344649789.3245201</v>
      </c>
      <c r="M6">
        <v>2854817394.7291899</v>
      </c>
      <c r="N6">
        <v>799621768.24454403</v>
      </c>
      <c r="O6">
        <v>1924382296.1743701</v>
      </c>
      <c r="P6">
        <v>899836654.53443599</v>
      </c>
      <c r="Q6">
        <v>43456271435.610802</v>
      </c>
      <c r="R6">
        <v>47.095927895840902</v>
      </c>
      <c r="S6">
        <v>2.0546345800574999</v>
      </c>
      <c r="T6">
        <v>1.9312902609151299</v>
      </c>
      <c r="U6">
        <v>12.5733107087443</v>
      </c>
      <c r="V6">
        <v>2.8493847717435998</v>
      </c>
      <c r="W6">
        <v>2.6570612872915298</v>
      </c>
      <c r="X6">
        <v>7.8864689446384704</v>
      </c>
      <c r="Y6">
        <v>4.2381054788138997</v>
      </c>
      <c r="Z6">
        <v>0.711102897174124</v>
      </c>
      <c r="AA6">
        <v>3.0942594587685499</v>
      </c>
      <c r="AB6">
        <v>6.56940252906689</v>
      </c>
      <c r="AC6">
        <v>1.84006069050204</v>
      </c>
      <c r="AD6">
        <v>4.4283189344160299</v>
      </c>
      <c r="AE6">
        <v>2.0706715620269498</v>
      </c>
    </row>
    <row r="7" spans="1:31" x14ac:dyDescent="0.2">
      <c r="A7">
        <v>6</v>
      </c>
      <c r="B7">
        <v>2748336.9317767601</v>
      </c>
      <c r="C7">
        <v>21288671532.338501</v>
      </c>
      <c r="D7">
        <v>952376828.95229197</v>
      </c>
      <c r="E7">
        <v>954257755.01019704</v>
      </c>
      <c r="F7">
        <v>6202041652.9677296</v>
      </c>
      <c r="G7">
        <v>1416127970.1519301</v>
      </c>
      <c r="H7">
        <v>1364728389.6819501</v>
      </c>
      <c r="I7">
        <v>3896540174.16153</v>
      </c>
      <c r="J7">
        <v>2239749522.5671401</v>
      </c>
      <c r="K7">
        <v>358339276.30989099</v>
      </c>
      <c r="L7">
        <v>1598980743.74229</v>
      </c>
      <c r="M7">
        <v>3289534267.8063202</v>
      </c>
      <c r="N7">
        <v>1124120003.5225101</v>
      </c>
      <c r="O7">
        <v>2082554866.2391</v>
      </c>
      <c r="P7">
        <v>1019773114.65628</v>
      </c>
      <c r="Q7">
        <v>47787796098.107697</v>
      </c>
      <c r="R7">
        <v>44.548343448677102</v>
      </c>
      <c r="S7">
        <v>1.9929289624427799</v>
      </c>
      <c r="T7">
        <v>1.9968649591019301</v>
      </c>
      <c r="U7">
        <v>12.9782960491314</v>
      </c>
      <c r="V7">
        <v>2.9633673987489102</v>
      </c>
      <c r="W7">
        <v>2.8558094348611101</v>
      </c>
      <c r="X7">
        <v>8.1538394575928592</v>
      </c>
      <c r="Y7">
        <v>4.6868650689999596</v>
      </c>
      <c r="Z7">
        <v>0.74985520481887302</v>
      </c>
      <c r="AA7">
        <v>3.34600227317368</v>
      </c>
      <c r="AB7">
        <v>6.8836283243800303</v>
      </c>
      <c r="AC7">
        <v>2.3523160624832</v>
      </c>
      <c r="AD7">
        <v>4.3579219723036502</v>
      </c>
      <c r="AE7">
        <v>2.1339613832843498</v>
      </c>
    </row>
    <row r="8" spans="1:31" x14ac:dyDescent="0.2">
      <c r="A8">
        <v>7</v>
      </c>
      <c r="B8">
        <v>2747846.3569293302</v>
      </c>
      <c r="C8">
        <v>22061555504.912998</v>
      </c>
      <c r="D8">
        <v>955642604.01410604</v>
      </c>
      <c r="E8">
        <v>1084593772.8963301</v>
      </c>
      <c r="F8">
        <v>7170857001.39888</v>
      </c>
      <c r="G8">
        <v>1576895228.88552</v>
      </c>
      <c r="H8">
        <v>1723416462.28618</v>
      </c>
      <c r="I8">
        <v>4459609552.2406502</v>
      </c>
      <c r="J8">
        <v>2704844016.0393701</v>
      </c>
      <c r="K8">
        <v>404942361.482301</v>
      </c>
      <c r="L8">
        <v>1802389365.0468299</v>
      </c>
      <c r="M8">
        <v>3991236985.9844298</v>
      </c>
      <c r="N8">
        <v>1518015823.19626</v>
      </c>
      <c r="O8">
        <v>2283985215.8801999</v>
      </c>
      <c r="P8">
        <v>1163339825.6192</v>
      </c>
      <c r="Q8">
        <v>52901323719.883301</v>
      </c>
      <c r="R8">
        <v>41.703220172203402</v>
      </c>
      <c r="S8">
        <v>1.8064625548394699</v>
      </c>
      <c r="T8">
        <v>2.0502204796223</v>
      </c>
      <c r="U8">
        <v>13.55515608526</v>
      </c>
      <c r="V8">
        <v>2.9808237639483401</v>
      </c>
      <c r="W8">
        <v>3.25779459019174</v>
      </c>
      <c r="X8">
        <v>8.4300528581376106</v>
      </c>
      <c r="Y8">
        <v>5.1129987415092604</v>
      </c>
      <c r="Z8">
        <v>0.76546735130202603</v>
      </c>
      <c r="AA8">
        <v>3.40707800544013</v>
      </c>
      <c r="AB8">
        <v>7.5446826380344403</v>
      </c>
      <c r="AC8">
        <v>2.86952332466059</v>
      </c>
      <c r="AD8">
        <v>4.3174443572982799</v>
      </c>
      <c r="AE8">
        <v>2.1990750775522701</v>
      </c>
    </row>
    <row r="9" spans="1:31" x14ac:dyDescent="0.2">
      <c r="A9">
        <v>8</v>
      </c>
      <c r="B9">
        <v>2747984.4327531499</v>
      </c>
      <c r="C9">
        <v>23144044156.0439</v>
      </c>
      <c r="D9">
        <v>987873604.83120298</v>
      </c>
      <c r="E9">
        <v>1304178565.0866201</v>
      </c>
      <c r="F9">
        <v>8209747833.4107704</v>
      </c>
      <c r="G9">
        <v>1920950368.44997</v>
      </c>
      <c r="H9">
        <v>2283824261.0636702</v>
      </c>
      <c r="I9">
        <v>5304285285.1653099</v>
      </c>
      <c r="J9">
        <v>3291017537.119</v>
      </c>
      <c r="K9">
        <v>524495019.25161099</v>
      </c>
      <c r="L9">
        <v>2390241066.2751498</v>
      </c>
      <c r="M9">
        <v>4459481035.3073797</v>
      </c>
      <c r="N9">
        <v>2107405267.0736499</v>
      </c>
      <c r="O9">
        <v>2527592419.6882601</v>
      </c>
      <c r="P9">
        <v>1372906620.66185</v>
      </c>
      <c r="Q9">
        <v>59828043039.428398</v>
      </c>
      <c r="R9">
        <v>38.684274096666201</v>
      </c>
      <c r="S9">
        <v>1.6511882298743501</v>
      </c>
      <c r="T9">
        <v>2.1798783627723402</v>
      </c>
      <c r="U9">
        <v>13.7222403012585</v>
      </c>
      <c r="V9">
        <v>3.2107858971486198</v>
      </c>
      <c r="W9">
        <v>3.8173139969805798</v>
      </c>
      <c r="X9">
        <v>8.8658846515665299</v>
      </c>
      <c r="Y9">
        <v>5.5007942261292504</v>
      </c>
      <c r="Z9">
        <v>0.87667085969359504</v>
      </c>
      <c r="AA9">
        <v>3.9951851085951602</v>
      </c>
      <c r="AB9">
        <v>7.4538306933563803</v>
      </c>
      <c r="AC9">
        <v>3.5224372384782998</v>
      </c>
      <c r="AD9">
        <v>4.2247619866531601</v>
      </c>
      <c r="AE9">
        <v>2.29475435082687</v>
      </c>
    </row>
    <row r="10" spans="1:31" x14ac:dyDescent="0.2">
      <c r="A10">
        <v>9</v>
      </c>
      <c r="B10">
        <v>2748042.5822946099</v>
      </c>
      <c r="C10">
        <v>23895637572.135101</v>
      </c>
      <c r="D10">
        <v>904561552.32073104</v>
      </c>
      <c r="E10">
        <v>1651759197.7995801</v>
      </c>
      <c r="F10">
        <v>9946350230.1693096</v>
      </c>
      <c r="G10">
        <v>2533328518.5107498</v>
      </c>
      <c r="H10">
        <v>2931918886.9404502</v>
      </c>
      <c r="I10">
        <v>6580995077.4231396</v>
      </c>
      <c r="J10">
        <v>4077347721.0027099</v>
      </c>
      <c r="K10">
        <v>708425955.34514701</v>
      </c>
      <c r="L10">
        <v>3054459709.5757599</v>
      </c>
      <c r="M10">
        <v>5242842451.9049301</v>
      </c>
      <c r="N10">
        <v>3159787854.8935199</v>
      </c>
      <c r="O10">
        <v>2883414936.42381</v>
      </c>
      <c r="P10">
        <v>1716196408.91571</v>
      </c>
      <c r="Q10">
        <v>69287026073.360703</v>
      </c>
      <c r="R10">
        <v>34.487896113241398</v>
      </c>
      <c r="S10">
        <v>1.30552803834153</v>
      </c>
      <c r="T10">
        <v>2.38393721221447</v>
      </c>
      <c r="U10">
        <v>14.3552852443662</v>
      </c>
      <c r="V10">
        <v>3.6562812146511701</v>
      </c>
      <c r="W10">
        <v>4.2315553908117698</v>
      </c>
      <c r="X10">
        <v>9.4981635818157599</v>
      </c>
      <c r="Y10">
        <v>5.8847203467581997</v>
      </c>
      <c r="Z10">
        <v>1.0224510929291</v>
      </c>
      <c r="AA10">
        <v>4.4084150853028703</v>
      </c>
      <c r="AB10">
        <v>7.5668458426168197</v>
      </c>
      <c r="AC10">
        <v>4.56043221071136</v>
      </c>
      <c r="AD10">
        <v>4.1615510144292598</v>
      </c>
      <c r="AE10">
        <v>2.4769376118100501</v>
      </c>
    </row>
    <row r="11" spans="1:31" x14ac:dyDescent="0.2">
      <c r="A11">
        <v>10</v>
      </c>
      <c r="B11">
        <v>2748063.5193039002</v>
      </c>
      <c r="C11">
        <v>26275826963.716499</v>
      </c>
      <c r="D11">
        <v>907616032.75166202</v>
      </c>
      <c r="E11">
        <v>2882140572.39182</v>
      </c>
      <c r="F11">
        <v>14425422944.259399</v>
      </c>
      <c r="G11">
        <v>5886209261.9639597</v>
      </c>
      <c r="H11">
        <v>5379905142.2717104</v>
      </c>
      <c r="I11">
        <v>11671019419.1194</v>
      </c>
      <c r="J11">
        <v>5904474902.4546003</v>
      </c>
      <c r="K11">
        <v>1697326386.02214</v>
      </c>
      <c r="L11">
        <v>5230961336.7513905</v>
      </c>
      <c r="M11">
        <v>7236301059.3639202</v>
      </c>
      <c r="N11">
        <v>6057604311.0866299</v>
      </c>
      <c r="O11">
        <v>4011181538.6979299</v>
      </c>
      <c r="P11">
        <v>2806102747.0468998</v>
      </c>
      <c r="Q11">
        <v>100372092617.89799</v>
      </c>
      <c r="R11">
        <v>26.178418999138302</v>
      </c>
      <c r="S11">
        <v>0.90425138011899797</v>
      </c>
      <c r="T11">
        <v>2.8714560962315501</v>
      </c>
      <c r="U11">
        <v>14.371945994166801</v>
      </c>
      <c r="V11">
        <v>5.8643883059924802</v>
      </c>
      <c r="W11">
        <v>5.3599611226122699</v>
      </c>
      <c r="X11">
        <v>11.627753407064301</v>
      </c>
      <c r="Y11">
        <v>5.8825862333388601</v>
      </c>
      <c r="Z11">
        <v>1.69103417269939</v>
      </c>
      <c r="AA11">
        <v>5.2115694714714103</v>
      </c>
      <c r="AB11">
        <v>7.2094751345988799</v>
      </c>
      <c r="AC11">
        <v>6.0351479710072802</v>
      </c>
      <c r="AD11">
        <v>3.9963115584009099</v>
      </c>
      <c r="AE11">
        <v>2.79570015315843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9825-5205-FE4C-B220-F0E805A976AA}">
  <dimension ref="A1:O11"/>
  <sheetViews>
    <sheetView workbookViewId="0"/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20</v>
      </c>
      <c r="D1" t="s">
        <v>19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  <c r="N1" t="s">
        <v>22</v>
      </c>
      <c r="O1" t="s">
        <v>21</v>
      </c>
    </row>
    <row r="2" spans="1:15" x14ac:dyDescent="0.2">
      <c r="A2">
        <v>1</v>
      </c>
      <c r="B2">
        <v>2747642.50515944</v>
      </c>
      <c r="C2">
        <v>32807166219.147499</v>
      </c>
      <c r="D2">
        <v>29276373226.599098</v>
      </c>
      <c r="E2">
        <v>12730887016.797501</v>
      </c>
      <c r="F2">
        <v>13799492511.298201</v>
      </c>
      <c r="G2">
        <v>26530379528.095699</v>
      </c>
      <c r="H2">
        <v>47.9860719795413</v>
      </c>
      <c r="I2">
        <v>52.0139280204586</v>
      </c>
      <c r="J2">
        <v>38.805201679891702</v>
      </c>
      <c r="K2">
        <v>42.062433613191203</v>
      </c>
      <c r="L2">
        <v>43.485191687715101</v>
      </c>
      <c r="M2">
        <v>47.135252732605103</v>
      </c>
      <c r="N2">
        <v>4.49825271481164</v>
      </c>
      <c r="O2">
        <v>6.1752752344866897</v>
      </c>
    </row>
    <row r="3" spans="1:15" x14ac:dyDescent="0.2">
      <c r="A3">
        <v>2</v>
      </c>
      <c r="B3">
        <v>2748295.6540946802</v>
      </c>
      <c r="C3">
        <v>41822410674.936996</v>
      </c>
      <c r="D3">
        <v>35426039310.566101</v>
      </c>
      <c r="E3">
        <v>16171881744.9347</v>
      </c>
      <c r="F3">
        <v>15540656739.6842</v>
      </c>
      <c r="G3">
        <v>31712538484.6189</v>
      </c>
      <c r="H3">
        <v>50.995229387828097</v>
      </c>
      <c r="I3">
        <v>49.004770612171797</v>
      </c>
      <c r="J3">
        <v>38.667980835992402</v>
      </c>
      <c r="K3">
        <v>37.158682364039997</v>
      </c>
      <c r="L3">
        <v>45.649703042336199</v>
      </c>
      <c r="M3">
        <v>43.8678922118429</v>
      </c>
      <c r="N3">
        <v>5.7140724653971899</v>
      </c>
      <c r="O3">
        <v>6.9544465213961804</v>
      </c>
    </row>
    <row r="4" spans="1:15" x14ac:dyDescent="0.2">
      <c r="A4">
        <v>3</v>
      </c>
      <c r="B4">
        <v>2747874.69444041</v>
      </c>
      <c r="C4">
        <v>47728594014.963997</v>
      </c>
      <c r="D4">
        <v>39497871055.729301</v>
      </c>
      <c r="E4">
        <v>18492395560.589802</v>
      </c>
      <c r="F4">
        <v>16596332039.166201</v>
      </c>
      <c r="G4">
        <v>35088727599.755997</v>
      </c>
      <c r="H4">
        <v>52.701812877131502</v>
      </c>
      <c r="I4">
        <v>47.298187122868399</v>
      </c>
      <c r="J4">
        <v>38.744899032207101</v>
      </c>
      <c r="K4">
        <v>34.772304488925201</v>
      </c>
      <c r="L4">
        <v>46.8187146960353</v>
      </c>
      <c r="M4">
        <v>42.018295152540503</v>
      </c>
      <c r="N4">
        <v>6.5339884349016</v>
      </c>
      <c r="O4">
        <v>7.4268613965963404</v>
      </c>
    </row>
    <row r="5" spans="1:15" x14ac:dyDescent="0.2">
      <c r="A5">
        <v>4</v>
      </c>
      <c r="B5">
        <v>2747979.4784429399</v>
      </c>
      <c r="C5">
        <v>55228987672.520798</v>
      </c>
      <c r="D5">
        <v>44792749154.822098</v>
      </c>
      <c r="E5">
        <v>21174220742.446899</v>
      </c>
      <c r="F5">
        <v>18343675668.4002</v>
      </c>
      <c r="G5">
        <v>39517896410.847198</v>
      </c>
      <c r="H5">
        <v>53.581345834579601</v>
      </c>
      <c r="I5">
        <v>46.4186541654203</v>
      </c>
      <c r="J5">
        <v>38.338962263800802</v>
      </c>
      <c r="K5">
        <v>33.213854610496703</v>
      </c>
      <c r="L5">
        <v>47.271536447249801</v>
      </c>
      <c r="M5">
        <v>40.952332720184103</v>
      </c>
      <c r="N5">
        <v>7.4815679231982104</v>
      </c>
      <c r="O5">
        <v>8.2087979664312307</v>
      </c>
    </row>
    <row r="6" spans="1:15" x14ac:dyDescent="0.2">
      <c r="A6">
        <v>5</v>
      </c>
      <c r="B6">
        <v>2747628.8515828899</v>
      </c>
      <c r="C6">
        <v>62300009849.796898</v>
      </c>
      <c r="D6">
        <v>49501029635.587097</v>
      </c>
      <c r="E6">
        <v>23802239836.017101</v>
      </c>
      <c r="F6">
        <v>19654031599.593601</v>
      </c>
      <c r="G6">
        <v>43456271435.610802</v>
      </c>
      <c r="H6">
        <v>54.7728533758008</v>
      </c>
      <c r="I6">
        <v>45.227146624199101</v>
      </c>
      <c r="J6">
        <v>38.205836392969204</v>
      </c>
      <c r="K6">
        <v>31.547397258810701</v>
      </c>
      <c r="L6">
        <v>48.084332813362899</v>
      </c>
      <c r="M6">
        <v>39.704288464868696</v>
      </c>
      <c r="N6">
        <v>8.4101359017397908</v>
      </c>
      <c r="O6">
        <v>8.7951824674291093</v>
      </c>
    </row>
    <row r="7" spans="1:15" x14ac:dyDescent="0.2">
      <c r="A7">
        <v>6</v>
      </c>
      <c r="B7">
        <v>2748336.9317767601</v>
      </c>
      <c r="C7">
        <v>70697712578.309692</v>
      </c>
      <c r="D7">
        <v>54853430904.834999</v>
      </c>
      <c r="E7">
        <v>26514380477.310398</v>
      </c>
      <c r="F7">
        <v>21273415620.797298</v>
      </c>
      <c r="G7">
        <v>47787796098.107697</v>
      </c>
      <c r="H7">
        <v>55.4835808348992</v>
      </c>
      <c r="I7">
        <v>44.5164191651008</v>
      </c>
      <c r="J7">
        <v>37.503873195248303</v>
      </c>
      <c r="K7">
        <v>30.090670327181201</v>
      </c>
      <c r="L7">
        <v>48.336776824972098</v>
      </c>
      <c r="M7">
        <v>38.782288126524797</v>
      </c>
      <c r="N7">
        <v>9.3684268665839099</v>
      </c>
      <c r="O7">
        <v>9.5198570910121898</v>
      </c>
    </row>
    <row r="8" spans="1:15" x14ac:dyDescent="0.2">
      <c r="A8">
        <v>7</v>
      </c>
      <c r="B8">
        <v>2747846.3569293302</v>
      </c>
      <c r="C8">
        <v>80541995781.497406</v>
      </c>
      <c r="D8">
        <v>60962714759.237099</v>
      </c>
      <c r="E8">
        <v>29745178079.321999</v>
      </c>
      <c r="F8">
        <v>23156145640.561298</v>
      </c>
      <c r="G8">
        <v>52901323719.883301</v>
      </c>
      <c r="H8">
        <v>56.2276631050388</v>
      </c>
      <c r="I8">
        <v>43.7723368949611</v>
      </c>
      <c r="J8">
        <v>36.931265224688197</v>
      </c>
      <c r="K8">
        <v>28.750399609393401</v>
      </c>
      <c r="L8">
        <v>48.792410568978099</v>
      </c>
      <c r="M8">
        <v>37.984111652528803</v>
      </c>
      <c r="N8">
        <v>10.509976867387399</v>
      </c>
      <c r="O8">
        <v>10.362379093524501</v>
      </c>
    </row>
    <row r="9" spans="1:15" x14ac:dyDescent="0.2">
      <c r="A9">
        <v>8</v>
      </c>
      <c r="B9">
        <v>2747984.4327531499</v>
      </c>
      <c r="C9">
        <v>95316514865.332199</v>
      </c>
      <c r="D9">
        <v>69592985603.748001</v>
      </c>
      <c r="E9">
        <v>33990731017.6814</v>
      </c>
      <c r="F9">
        <v>25837312021.747002</v>
      </c>
      <c r="G9">
        <v>59828043039.428398</v>
      </c>
      <c r="H9">
        <v>56.814044536406598</v>
      </c>
      <c r="I9">
        <v>43.185955463593302</v>
      </c>
      <c r="J9">
        <v>35.6609041630457</v>
      </c>
      <c r="K9">
        <v>27.106857671255799</v>
      </c>
      <c r="L9">
        <v>48.842179600138799</v>
      </c>
      <c r="M9">
        <v>37.126316391799499</v>
      </c>
      <c r="N9">
        <v>12.0100742294686</v>
      </c>
      <c r="O9">
        <v>11.562201502915199</v>
      </c>
    </row>
    <row r="10" spans="1:15" x14ac:dyDescent="0.2">
      <c r="A10">
        <v>9</v>
      </c>
      <c r="B10">
        <v>2748042.5822946099</v>
      </c>
      <c r="C10">
        <v>117372854152.933</v>
      </c>
      <c r="D10">
        <v>82061193028.969299</v>
      </c>
      <c r="E10">
        <v>40157035542.102303</v>
      </c>
      <c r="F10">
        <v>29129990531.2584</v>
      </c>
      <c r="G10">
        <v>69287026073.360703</v>
      </c>
      <c r="H10">
        <v>57.957510688341998</v>
      </c>
      <c r="I10">
        <v>42.042489311658002</v>
      </c>
      <c r="J10">
        <v>34.213222326330097</v>
      </c>
      <c r="K10">
        <v>24.818337034986602</v>
      </c>
      <c r="L10">
        <v>48.935476148788197</v>
      </c>
      <c r="M10">
        <v>35.497888168619298</v>
      </c>
      <c r="N10">
        <v>14.1888380525027</v>
      </c>
      <c r="O10">
        <v>13.0356756932352</v>
      </c>
    </row>
    <row r="11" spans="1:15" x14ac:dyDescent="0.2">
      <c r="A11">
        <v>10</v>
      </c>
      <c r="B11">
        <v>2748063.5193039002</v>
      </c>
      <c r="C11">
        <v>205068163103.01001</v>
      </c>
      <c r="D11">
        <v>124958992792.82401</v>
      </c>
      <c r="E11">
        <v>60239542360.468002</v>
      </c>
      <c r="F11">
        <v>40132550257.43</v>
      </c>
      <c r="G11">
        <v>100372092617.89799</v>
      </c>
      <c r="H11">
        <v>60.016226412446201</v>
      </c>
      <c r="I11">
        <v>39.9837735875536</v>
      </c>
      <c r="J11">
        <v>29.3753752161949</v>
      </c>
      <c r="K11">
        <v>19.5703465863057</v>
      </c>
      <c r="L11">
        <v>48.207448711067798</v>
      </c>
      <c r="M11">
        <v>32.116576294726997</v>
      </c>
      <c r="N11">
        <v>21.284666544008701</v>
      </c>
      <c r="O11">
        <v>17.959323032973199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1F9D-EB5B-1C46-BEE0-9C566D64DA42}">
  <dimension ref="A1:U11"/>
  <sheetViews>
    <sheetView workbookViewId="0"/>
  </sheetViews>
  <sheetFormatPr baseColWidth="10" defaultRowHeight="16" x14ac:dyDescent="0.2"/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66</v>
      </c>
      <c r="G1" t="s">
        <v>65</v>
      </c>
      <c r="H1" t="s">
        <v>64</v>
      </c>
      <c r="I1" t="s">
        <v>63</v>
      </c>
      <c r="J1" t="s">
        <v>62</v>
      </c>
      <c r="K1" t="s">
        <v>61</v>
      </c>
      <c r="L1" t="s">
        <v>60</v>
      </c>
      <c r="M1" t="s">
        <v>59</v>
      </c>
      <c r="N1" t="s">
        <v>58</v>
      </c>
      <c r="O1" t="s">
        <v>57</v>
      </c>
      <c r="P1" t="s">
        <v>56</v>
      </c>
      <c r="Q1" t="s">
        <v>55</v>
      </c>
      <c r="R1" t="s">
        <v>54</v>
      </c>
      <c r="S1" t="s">
        <v>53</v>
      </c>
      <c r="T1" t="s">
        <v>52</v>
      </c>
      <c r="U1" t="s">
        <v>51</v>
      </c>
    </row>
    <row r="2" spans="1:21" x14ac:dyDescent="0.2">
      <c r="A2">
        <v>1</v>
      </c>
      <c r="B2">
        <v>2747642.50515944</v>
      </c>
      <c r="C2">
        <v>12730887016.797501</v>
      </c>
      <c r="D2">
        <v>13799492511.298201</v>
      </c>
      <c r="E2">
        <v>26530379528.095699</v>
      </c>
      <c r="F2">
        <v>11749966829.580099</v>
      </c>
      <c r="G2">
        <v>324642487.77311498</v>
      </c>
      <c r="H2">
        <v>682368.05463735096</v>
      </c>
      <c r="I2">
        <v>146439152.57548499</v>
      </c>
      <c r="J2">
        <v>740245419.25953496</v>
      </c>
      <c r="K2">
        <v>18722509.991712101</v>
      </c>
      <c r="L2">
        <v>706737356.34813797</v>
      </c>
      <c r="M2">
        <v>112056387.715506</v>
      </c>
      <c r="N2">
        <v>44.288724995949799</v>
      </c>
      <c r="O2">
        <v>1.22366318743882</v>
      </c>
      <c r="P2">
        <v>2.5720252283414199E-3</v>
      </c>
      <c r="Q2">
        <v>0.55196780136675305</v>
      </c>
      <c r="R2">
        <v>2.79018028549351</v>
      </c>
      <c r="S2">
        <v>7.0570079752854301E-2</v>
      </c>
      <c r="T2">
        <v>2.6638795558868602</v>
      </c>
      <c r="U2">
        <v>0.42237008934168402</v>
      </c>
    </row>
    <row r="3" spans="1:21" x14ac:dyDescent="0.2">
      <c r="A3">
        <v>2</v>
      </c>
      <c r="B3">
        <v>2748295.6540946802</v>
      </c>
      <c r="C3">
        <v>16171881744.9347</v>
      </c>
      <c r="D3">
        <v>15540656739.6842</v>
      </c>
      <c r="E3">
        <v>31712538484.6189</v>
      </c>
      <c r="F3">
        <v>12573505641.1355</v>
      </c>
      <c r="G3">
        <v>559856734.88656294</v>
      </c>
      <c r="H3">
        <v>3514494.1785079702</v>
      </c>
      <c r="I3">
        <v>245559719.78979</v>
      </c>
      <c r="J3">
        <v>973711952.95135903</v>
      </c>
      <c r="K3">
        <v>21590797.297966398</v>
      </c>
      <c r="L3">
        <v>911750214.78615296</v>
      </c>
      <c r="M3">
        <v>251167184.65831101</v>
      </c>
      <c r="N3">
        <v>39.648373299519598</v>
      </c>
      <c r="O3">
        <v>1.76541129042098</v>
      </c>
      <c r="P3">
        <v>1.1082348958638299E-2</v>
      </c>
      <c r="Q3">
        <v>0.774330064775136</v>
      </c>
      <c r="R3">
        <v>3.0704320734955401</v>
      </c>
      <c r="S3">
        <v>6.8082841455401805E-2</v>
      </c>
      <c r="T3">
        <v>2.87504645907915</v>
      </c>
      <c r="U3">
        <v>0.79201223446723001</v>
      </c>
    </row>
    <row r="4" spans="1:21" x14ac:dyDescent="0.2">
      <c r="A4">
        <v>3</v>
      </c>
      <c r="B4">
        <v>2747874.69444041</v>
      </c>
      <c r="C4">
        <v>18492395560.589802</v>
      </c>
      <c r="D4">
        <v>16596332039.166201</v>
      </c>
      <c r="E4">
        <v>35088727599.755997</v>
      </c>
      <c r="F4">
        <v>12873701452.5397</v>
      </c>
      <c r="G4">
        <v>853851002.40004396</v>
      </c>
      <c r="H4">
        <v>6545345.8693788797</v>
      </c>
      <c r="I4">
        <v>297040768.76151502</v>
      </c>
      <c r="J4">
        <v>1176231165.2918501</v>
      </c>
      <c r="K4">
        <v>23549384.297754198</v>
      </c>
      <c r="L4">
        <v>990002976.11519504</v>
      </c>
      <c r="M4">
        <v>375409943.89073801</v>
      </c>
      <c r="N4">
        <v>36.688994823024601</v>
      </c>
      <c r="O4">
        <v>2.4334054290585798</v>
      </c>
      <c r="P4">
        <v>1.8653699683953098E-2</v>
      </c>
      <c r="Q4">
        <v>0.84654186424126798</v>
      </c>
      <c r="R4">
        <v>3.3521624913524302</v>
      </c>
      <c r="S4">
        <v>6.7113816626163197E-2</v>
      </c>
      <c r="T4">
        <v>2.82142740371718</v>
      </c>
      <c r="U4">
        <v>1.06988759516417</v>
      </c>
    </row>
    <row r="5" spans="1:21" x14ac:dyDescent="0.2">
      <c r="A5">
        <v>4</v>
      </c>
      <c r="B5">
        <v>2747979.4784429399</v>
      </c>
      <c r="C5">
        <v>21174220742.446899</v>
      </c>
      <c r="D5">
        <v>18343675668.4002</v>
      </c>
      <c r="E5">
        <v>39517896410.847198</v>
      </c>
      <c r="F5">
        <v>13497522993.0415</v>
      </c>
      <c r="G5">
        <v>1166557382.73967</v>
      </c>
      <c r="H5">
        <v>20404872.510134902</v>
      </c>
      <c r="I5">
        <v>446415780.096394</v>
      </c>
      <c r="J5">
        <v>1431421145.7681899</v>
      </c>
      <c r="K5">
        <v>28546724.8645088</v>
      </c>
      <c r="L5">
        <v>1167293454.20645</v>
      </c>
      <c r="M5">
        <v>585513315.17335296</v>
      </c>
      <c r="N5">
        <v>34.155469341573003</v>
      </c>
      <c r="O5">
        <v>2.95197236869994</v>
      </c>
      <c r="P5">
        <v>5.1634510850466303E-2</v>
      </c>
      <c r="Q5">
        <v>1.1296547150567899</v>
      </c>
      <c r="R5">
        <v>3.6222098739428001</v>
      </c>
      <c r="S5">
        <v>7.2237460637386203E-2</v>
      </c>
      <c r="T5">
        <v>2.9538349968599098</v>
      </c>
      <c r="U5">
        <v>1.4816408978</v>
      </c>
    </row>
    <row r="6" spans="1:21" x14ac:dyDescent="0.2">
      <c r="A6">
        <v>5</v>
      </c>
      <c r="B6">
        <v>2747628.8515828899</v>
      </c>
      <c r="C6">
        <v>23802239836.017101</v>
      </c>
      <c r="D6">
        <v>19654031599.593601</v>
      </c>
      <c r="E6">
        <v>43456271435.610802</v>
      </c>
      <c r="F6">
        <v>13949885494.784401</v>
      </c>
      <c r="G6">
        <v>1432332224.02545</v>
      </c>
      <c r="H6">
        <v>29284980.175714001</v>
      </c>
      <c r="I6">
        <v>586394502.75655198</v>
      </c>
      <c r="J6">
        <v>1591829923.7634201</v>
      </c>
      <c r="K6">
        <v>35019412.1843872</v>
      </c>
      <c r="L6">
        <v>1258789933.1478701</v>
      </c>
      <c r="M6">
        <v>770495128.75581396</v>
      </c>
      <c r="N6">
        <v>32.100971928652399</v>
      </c>
      <c r="O6">
        <v>3.2960311059998402</v>
      </c>
      <c r="P6">
        <v>6.7389537132990299E-2</v>
      </c>
      <c r="Q6">
        <v>1.3493898196613801</v>
      </c>
      <c r="R6">
        <v>3.6630614435526101</v>
      </c>
      <c r="S6">
        <v>8.0585404655057702E-2</v>
      </c>
      <c r="T6">
        <v>2.8966818633140798</v>
      </c>
      <c r="U6">
        <v>1.7730355212307001</v>
      </c>
    </row>
    <row r="7" spans="1:21" x14ac:dyDescent="0.2">
      <c r="A7">
        <v>6</v>
      </c>
      <c r="B7">
        <v>2748336.9317767601</v>
      </c>
      <c r="C7">
        <v>26514380477.310398</v>
      </c>
      <c r="D7">
        <v>21273415620.797298</v>
      </c>
      <c r="E7">
        <v>47787796098.107697</v>
      </c>
      <c r="F7">
        <v>14397728035.304501</v>
      </c>
      <c r="G7">
        <v>1697884778.90223</v>
      </c>
      <c r="H7">
        <v>63180521.006016403</v>
      </c>
      <c r="I7">
        <v>683776655.87726998</v>
      </c>
      <c r="J7">
        <v>1798324006.6226399</v>
      </c>
      <c r="K7">
        <v>41077150.383075602</v>
      </c>
      <c r="L7">
        <v>1510439607.86689</v>
      </c>
      <c r="M7">
        <v>1081004864.8346601</v>
      </c>
      <c r="N7">
        <v>30.1284620988718</v>
      </c>
      <c r="O7">
        <v>3.5529673212309199</v>
      </c>
      <c r="P7">
        <v>0.13221057710279699</v>
      </c>
      <c r="Q7">
        <v>1.4308604114604599</v>
      </c>
      <c r="R7">
        <v>3.76314488939961</v>
      </c>
      <c r="S7">
        <v>8.5957406988898893E-2</v>
      </c>
      <c r="T7">
        <v>3.1607224672298799</v>
      </c>
      <c r="U7">
        <v>2.2620939928164301</v>
      </c>
    </row>
    <row r="8" spans="1:21" x14ac:dyDescent="0.2">
      <c r="A8">
        <v>7</v>
      </c>
      <c r="B8">
        <v>2747846.3569293302</v>
      </c>
      <c r="C8">
        <v>29745178079.321999</v>
      </c>
      <c r="D8">
        <v>23156145640.561298</v>
      </c>
      <c r="E8">
        <v>52901323719.883301</v>
      </c>
      <c r="F8">
        <v>14812993847.139601</v>
      </c>
      <c r="G8">
        <v>2100061391.49822</v>
      </c>
      <c r="H8">
        <v>98781256.271991506</v>
      </c>
      <c r="I8">
        <v>940093141.09905696</v>
      </c>
      <c r="J8">
        <v>2005128937.83179</v>
      </c>
      <c r="K8">
        <v>43262154.6866671</v>
      </c>
      <c r="L8">
        <v>1698897899.0378699</v>
      </c>
      <c r="M8">
        <v>1456927012.9960101</v>
      </c>
      <c r="N8">
        <v>28.0011780528889</v>
      </c>
      <c r="O8">
        <v>3.9697709694718002</v>
      </c>
      <c r="P8">
        <v>0.18672738095372801</v>
      </c>
      <c r="Q8">
        <v>1.7770692205679399</v>
      </c>
      <c r="R8">
        <v>3.7903190257565398</v>
      </c>
      <c r="S8">
        <v>8.1778964389896305E-2</v>
      </c>
      <c r="T8">
        <v>3.2114468591252501</v>
      </c>
      <c r="U8">
        <v>2.7540464218070499</v>
      </c>
    </row>
    <row r="9" spans="1:21" x14ac:dyDescent="0.2">
      <c r="A9">
        <v>8</v>
      </c>
      <c r="B9">
        <v>2747984.4327531499</v>
      </c>
      <c r="C9">
        <v>33990731017.6814</v>
      </c>
      <c r="D9">
        <v>25837312021.747002</v>
      </c>
      <c r="E9">
        <v>59828043039.428398</v>
      </c>
      <c r="F9">
        <v>15354359285.5842</v>
      </c>
      <c r="G9">
        <v>2331764546.6370301</v>
      </c>
      <c r="H9">
        <v>259129992.405334</v>
      </c>
      <c r="I9">
        <v>1331883811.2451601</v>
      </c>
      <c r="J9">
        <v>2229614217.6897001</v>
      </c>
      <c r="K9">
        <v>56873922.294415303</v>
      </c>
      <c r="L9">
        <v>2272578925.0672698</v>
      </c>
      <c r="M9">
        <v>2001107320.8238399</v>
      </c>
      <c r="N9">
        <v>25.664150965902799</v>
      </c>
      <c r="O9">
        <v>3.8974441218148002</v>
      </c>
      <c r="P9">
        <v>0.433124633935561</v>
      </c>
      <c r="Q9">
        <v>2.2261864897827399</v>
      </c>
      <c r="R9">
        <v>3.7267042417220999</v>
      </c>
      <c r="S9">
        <v>9.5062314267798695E-2</v>
      </c>
      <c r="T9">
        <v>3.7985179016628901</v>
      </c>
      <c r="U9">
        <v>3.34476479450456</v>
      </c>
    </row>
    <row r="10" spans="1:21" x14ac:dyDescent="0.2">
      <c r="A10">
        <v>9</v>
      </c>
      <c r="B10">
        <v>2748042.5822946099</v>
      </c>
      <c r="C10">
        <v>40157035542.102303</v>
      </c>
      <c r="D10">
        <v>29129990531.2584</v>
      </c>
      <c r="E10">
        <v>69287026073.360703</v>
      </c>
      <c r="F10">
        <v>15656353582.4806</v>
      </c>
      <c r="G10">
        <v>2987524587.9570498</v>
      </c>
      <c r="H10">
        <v>588308177.40277696</v>
      </c>
      <c r="I10">
        <v>1659423366.5900199</v>
      </c>
      <c r="J10">
        <v>2290156689.4618702</v>
      </c>
      <c r="K10">
        <v>73316810.959874198</v>
      </c>
      <c r="L10">
        <v>2926009636.4663601</v>
      </c>
      <c r="M10">
        <v>2948897679.9398398</v>
      </c>
      <c r="N10">
        <v>22.596371167531</v>
      </c>
      <c r="O10">
        <v>4.31180952231069</v>
      </c>
      <c r="P10">
        <v>0.84908851013446596</v>
      </c>
      <c r="Q10">
        <v>2.3949986897013398</v>
      </c>
      <c r="R10">
        <v>3.3053182092662898</v>
      </c>
      <c r="S10">
        <v>0.105816074256451</v>
      </c>
      <c r="T10">
        <v>4.22302673716767</v>
      </c>
      <c r="U10">
        <v>4.25606040129008</v>
      </c>
    </row>
    <row r="11" spans="1:21" x14ac:dyDescent="0.2">
      <c r="A11">
        <v>10</v>
      </c>
      <c r="B11">
        <v>2748063.5193039002</v>
      </c>
      <c r="C11">
        <v>60239542360.468002</v>
      </c>
      <c r="D11">
        <v>40132550257.43</v>
      </c>
      <c r="E11">
        <v>100372092617.89799</v>
      </c>
      <c r="F11">
        <v>16542862951.057899</v>
      </c>
      <c r="G11">
        <v>4254509844.3133798</v>
      </c>
      <c r="H11">
        <v>3164214992.7171102</v>
      </c>
      <c r="I11">
        <v>3337260493.5719199</v>
      </c>
      <c r="J11">
        <v>2376970075.4717598</v>
      </c>
      <c r="K11">
        <v>114666989.84030101</v>
      </c>
      <c r="L11">
        <v>5048127232.1395798</v>
      </c>
      <c r="M11">
        <v>5293937678.3180199</v>
      </c>
      <c r="N11">
        <v>16.481536370905602</v>
      </c>
      <c r="O11">
        <v>4.23873781381611</v>
      </c>
      <c r="P11">
        <v>3.1524848293866001</v>
      </c>
      <c r="Q11">
        <v>3.32488882769076</v>
      </c>
      <c r="R11">
        <v>2.3681583331340299</v>
      </c>
      <c r="S11">
        <v>0.114241904148419</v>
      </c>
      <c r="T11">
        <v>5.0294131570585696</v>
      </c>
      <c r="U11">
        <v>5.2743123514135197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5AA48-B8D0-BB4F-9D44-004653D39453}">
  <dimension ref="A1:R11"/>
  <sheetViews>
    <sheetView workbookViewId="0"/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20</v>
      </c>
      <c r="D1" t="s">
        <v>19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  <c r="N1" t="s">
        <v>22</v>
      </c>
      <c r="O1" t="s">
        <v>21</v>
      </c>
      <c r="P1" t="s">
        <v>69</v>
      </c>
      <c r="Q1" t="s">
        <v>68</v>
      </c>
      <c r="R1" t="s">
        <v>67</v>
      </c>
    </row>
    <row r="2" spans="1:18" x14ac:dyDescent="0.2">
      <c r="A2">
        <v>1</v>
      </c>
      <c r="B2">
        <v>2747642.50515944</v>
      </c>
      <c r="C2">
        <v>32807166219.147499</v>
      </c>
      <c r="D2">
        <v>29276373226.599098</v>
      </c>
      <c r="E2">
        <v>12730887016.797501</v>
      </c>
      <c r="F2">
        <v>13799492511.298201</v>
      </c>
      <c r="G2">
        <v>26530379528.095699</v>
      </c>
      <c r="H2">
        <v>47.9860719795413</v>
      </c>
      <c r="I2">
        <v>52.0139280204586</v>
      </c>
      <c r="J2">
        <v>38.805201679891702</v>
      </c>
      <c r="K2">
        <v>42.062433613191203</v>
      </c>
      <c r="L2">
        <v>43.485191687715101</v>
      </c>
      <c r="M2">
        <v>47.135252732605103</v>
      </c>
      <c r="N2">
        <v>4.49825271481164</v>
      </c>
      <c r="O2">
        <v>6.1752752344866897</v>
      </c>
      <c r="P2">
        <v>1527706442.0157001</v>
      </c>
      <c r="Q2">
        <v>1655939101.3557799</v>
      </c>
      <c r="R2">
        <v>5.7583286375449498</v>
      </c>
    </row>
    <row r="3" spans="1:18" x14ac:dyDescent="0.2">
      <c r="A3">
        <v>2</v>
      </c>
      <c r="B3">
        <v>2748295.6540946802</v>
      </c>
      <c r="C3">
        <v>41822410674.936996</v>
      </c>
      <c r="D3">
        <v>35426039310.566101</v>
      </c>
      <c r="E3">
        <v>16171881744.9347</v>
      </c>
      <c r="F3">
        <v>15540656739.6842</v>
      </c>
      <c r="G3">
        <v>31712538484.6189</v>
      </c>
      <c r="H3">
        <v>50.995229387828097</v>
      </c>
      <c r="I3">
        <v>49.004770612171797</v>
      </c>
      <c r="J3">
        <v>38.667980835992402</v>
      </c>
      <c r="K3">
        <v>37.158682364039997</v>
      </c>
      <c r="L3">
        <v>45.649703042336199</v>
      </c>
      <c r="M3">
        <v>43.8678922118429</v>
      </c>
      <c r="N3">
        <v>5.7140724653971899</v>
      </c>
      <c r="O3">
        <v>6.9544465213961804</v>
      </c>
      <c r="P3">
        <v>1940625809.3921599</v>
      </c>
      <c r="Q3">
        <v>1864878808.7621</v>
      </c>
      <c r="R3">
        <v>6.11942752653938</v>
      </c>
    </row>
    <row r="4" spans="1:18" x14ac:dyDescent="0.2">
      <c r="A4">
        <v>3</v>
      </c>
      <c r="B4">
        <v>2747874.69444041</v>
      </c>
      <c r="C4">
        <v>47728594014.963997</v>
      </c>
      <c r="D4">
        <v>39497871055.729301</v>
      </c>
      <c r="E4">
        <v>18492395560.589802</v>
      </c>
      <c r="F4">
        <v>16596332039.166201</v>
      </c>
      <c r="G4">
        <v>35088727599.755997</v>
      </c>
      <c r="H4">
        <v>52.701812877131502</v>
      </c>
      <c r="I4">
        <v>47.298187122868399</v>
      </c>
      <c r="J4">
        <v>38.744899032207101</v>
      </c>
      <c r="K4">
        <v>34.772304488925201</v>
      </c>
      <c r="L4">
        <v>46.8187146960353</v>
      </c>
      <c r="M4">
        <v>42.018295152540503</v>
      </c>
      <c r="N4">
        <v>6.5339884349016</v>
      </c>
      <c r="O4">
        <v>7.4268613965963404</v>
      </c>
      <c r="P4">
        <v>2219087467.2707801</v>
      </c>
      <c r="Q4">
        <v>1991559844.69994</v>
      </c>
      <c r="R4">
        <v>6.3242175452557801</v>
      </c>
    </row>
    <row r="5" spans="1:18" x14ac:dyDescent="0.2">
      <c r="A5">
        <v>4</v>
      </c>
      <c r="B5">
        <v>2747979.4784429399</v>
      </c>
      <c r="C5">
        <v>55228987672.520798</v>
      </c>
      <c r="D5">
        <v>44792749154.822098</v>
      </c>
      <c r="E5">
        <v>21174220742.446899</v>
      </c>
      <c r="F5">
        <v>18343675668.4002</v>
      </c>
      <c r="G5">
        <v>39517896410.847198</v>
      </c>
      <c r="H5">
        <v>53.581345834579601</v>
      </c>
      <c r="I5">
        <v>46.4186541654203</v>
      </c>
      <c r="J5">
        <v>38.338962263800802</v>
      </c>
      <c r="K5">
        <v>33.213854610496703</v>
      </c>
      <c r="L5">
        <v>47.271536447249801</v>
      </c>
      <c r="M5">
        <v>40.952332720184103</v>
      </c>
      <c r="N5">
        <v>7.4815679231982104</v>
      </c>
      <c r="O5">
        <v>8.2087979664312307</v>
      </c>
      <c r="P5">
        <v>2540906489.0936298</v>
      </c>
      <c r="Q5">
        <v>2201241080.2080202</v>
      </c>
      <c r="R5">
        <v>6.4297615001495503</v>
      </c>
    </row>
    <row r="6" spans="1:18" x14ac:dyDescent="0.2">
      <c r="A6">
        <v>5</v>
      </c>
      <c r="B6">
        <v>2747628.8515828899</v>
      </c>
      <c r="C6">
        <v>62300009849.796898</v>
      </c>
      <c r="D6">
        <v>49501029635.587097</v>
      </c>
      <c r="E6">
        <v>23802239836.017101</v>
      </c>
      <c r="F6">
        <v>19654031599.593601</v>
      </c>
      <c r="G6">
        <v>43456271435.610802</v>
      </c>
      <c r="H6">
        <v>54.7728533758008</v>
      </c>
      <c r="I6">
        <v>45.227146624199101</v>
      </c>
      <c r="J6">
        <v>38.205836392969204</v>
      </c>
      <c r="K6">
        <v>31.547397258810701</v>
      </c>
      <c r="L6">
        <v>48.084332813362899</v>
      </c>
      <c r="M6">
        <v>39.704288464868696</v>
      </c>
      <c r="N6">
        <v>8.4101359017397908</v>
      </c>
      <c r="O6">
        <v>8.7951824674291093</v>
      </c>
      <c r="P6">
        <v>2856268780.3220501</v>
      </c>
      <c r="Q6">
        <v>2358483791.9512401</v>
      </c>
      <c r="R6">
        <v>6.5727424050960996</v>
      </c>
    </row>
    <row r="7" spans="1:18" x14ac:dyDescent="0.2">
      <c r="A7">
        <v>6</v>
      </c>
      <c r="B7">
        <v>2748336.9317767601</v>
      </c>
      <c r="C7">
        <v>70697712578.309692</v>
      </c>
      <c r="D7">
        <v>54853430904.834999</v>
      </c>
      <c r="E7">
        <v>26514380477.310398</v>
      </c>
      <c r="F7">
        <v>21273415620.797298</v>
      </c>
      <c r="G7">
        <v>47787796098.107697</v>
      </c>
      <c r="H7">
        <v>55.4835808348992</v>
      </c>
      <c r="I7">
        <v>44.5164191651008</v>
      </c>
      <c r="J7">
        <v>37.503873195248303</v>
      </c>
      <c r="K7">
        <v>30.090670327181201</v>
      </c>
      <c r="L7">
        <v>48.336776824972098</v>
      </c>
      <c r="M7">
        <v>38.782288126524797</v>
      </c>
      <c r="N7">
        <v>9.3684268665839099</v>
      </c>
      <c r="O7">
        <v>9.5198570910121898</v>
      </c>
      <c r="P7">
        <v>3181725657.2772498</v>
      </c>
      <c r="Q7">
        <v>2552809874.4956799</v>
      </c>
      <c r="R7">
        <v>6.6580297001878996</v>
      </c>
    </row>
    <row r="8" spans="1:18" x14ac:dyDescent="0.2">
      <c r="A8">
        <v>7</v>
      </c>
      <c r="B8">
        <v>2747846.3569293302</v>
      </c>
      <c r="C8">
        <v>80541995781.497406</v>
      </c>
      <c r="D8">
        <v>60962714759.237099</v>
      </c>
      <c r="E8">
        <v>29745178079.321999</v>
      </c>
      <c r="F8">
        <v>23156145640.561298</v>
      </c>
      <c r="G8">
        <v>52901323719.883301</v>
      </c>
      <c r="H8">
        <v>56.2276631050388</v>
      </c>
      <c r="I8">
        <v>43.7723368949611</v>
      </c>
      <c r="J8">
        <v>36.931265224688197</v>
      </c>
      <c r="K8">
        <v>28.750399609393401</v>
      </c>
      <c r="L8">
        <v>48.792410568978099</v>
      </c>
      <c r="M8">
        <v>37.984111652528803</v>
      </c>
      <c r="N8">
        <v>10.509976867387399</v>
      </c>
      <c r="O8">
        <v>10.362379093524501</v>
      </c>
      <c r="P8">
        <v>3569421369.51864</v>
      </c>
      <c r="Q8">
        <v>2778737476.8673501</v>
      </c>
      <c r="R8">
        <v>6.7473195726046598</v>
      </c>
    </row>
    <row r="9" spans="1:18" x14ac:dyDescent="0.2">
      <c r="A9">
        <v>8</v>
      </c>
      <c r="B9">
        <v>2747984.4327531499</v>
      </c>
      <c r="C9">
        <v>95316514865.332199</v>
      </c>
      <c r="D9">
        <v>69592985603.748001</v>
      </c>
      <c r="E9">
        <v>33990731017.6814</v>
      </c>
      <c r="F9">
        <v>25837312021.747002</v>
      </c>
      <c r="G9">
        <v>59828043039.428398</v>
      </c>
      <c r="H9">
        <v>56.814044536406598</v>
      </c>
      <c r="I9">
        <v>43.185955463593302</v>
      </c>
      <c r="J9">
        <v>35.6609041630457</v>
      </c>
      <c r="K9">
        <v>27.106857671255799</v>
      </c>
      <c r="L9">
        <v>48.842179600138799</v>
      </c>
      <c r="M9">
        <v>37.126316391799499</v>
      </c>
      <c r="N9">
        <v>12.0100742294686</v>
      </c>
      <c r="O9">
        <v>11.562201502915199</v>
      </c>
      <c r="P9">
        <v>4078887722.1217599</v>
      </c>
      <c r="Q9">
        <v>3100477442.6096401</v>
      </c>
      <c r="R9">
        <v>6.8176853443687904</v>
      </c>
    </row>
    <row r="10" spans="1:18" x14ac:dyDescent="0.2">
      <c r="A10">
        <v>9</v>
      </c>
      <c r="B10">
        <v>2748042.5822946099</v>
      </c>
      <c r="C10">
        <v>117372854152.933</v>
      </c>
      <c r="D10">
        <v>82061193028.969299</v>
      </c>
      <c r="E10">
        <v>40157035542.102303</v>
      </c>
      <c r="F10">
        <v>29129990531.2584</v>
      </c>
      <c r="G10">
        <v>69287026073.360703</v>
      </c>
      <c r="H10">
        <v>57.957510688341998</v>
      </c>
      <c r="I10">
        <v>42.042489311658002</v>
      </c>
      <c r="J10">
        <v>34.213222326330097</v>
      </c>
      <c r="K10">
        <v>24.818337034986602</v>
      </c>
      <c r="L10">
        <v>48.935476148788197</v>
      </c>
      <c r="M10">
        <v>35.497888168619298</v>
      </c>
      <c r="N10">
        <v>14.1888380525027</v>
      </c>
      <c r="O10">
        <v>13.0356756932352</v>
      </c>
      <c r="P10">
        <v>4818844265.0522804</v>
      </c>
      <c r="Q10">
        <v>3495598863.7509999</v>
      </c>
      <c r="R10">
        <v>6.9549012826010399</v>
      </c>
    </row>
    <row r="11" spans="1:18" x14ac:dyDescent="0.2">
      <c r="A11">
        <v>10</v>
      </c>
      <c r="B11">
        <v>2748063.5193039002</v>
      </c>
      <c r="C11">
        <v>205068163103.01001</v>
      </c>
      <c r="D11">
        <v>124958992792.82401</v>
      </c>
      <c r="E11">
        <v>60239542360.468002</v>
      </c>
      <c r="F11">
        <v>40132550257.43</v>
      </c>
      <c r="G11">
        <v>100372092617.89799</v>
      </c>
      <c r="H11">
        <v>60.016226412446201</v>
      </c>
      <c r="I11">
        <v>39.9837735875536</v>
      </c>
      <c r="J11">
        <v>29.3753752161949</v>
      </c>
      <c r="K11">
        <v>19.5703465863057</v>
      </c>
      <c r="L11">
        <v>48.207448711067798</v>
      </c>
      <c r="M11">
        <v>32.116576294726997</v>
      </c>
      <c r="N11">
        <v>21.284666544008701</v>
      </c>
      <c r="O11">
        <v>17.959323032973199</v>
      </c>
      <c r="P11">
        <v>7228745083.2561598</v>
      </c>
      <c r="Q11">
        <v>4815906030.8915997</v>
      </c>
      <c r="R11">
        <v>7.2019471694935504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82C87-9E54-3145-A88B-A07A29DD7EB7}">
  <dimension ref="A1:L11"/>
  <sheetViews>
    <sheetView workbookViewId="0">
      <selection activeCell="P29" sqref="P29"/>
    </sheetView>
  </sheetViews>
  <sheetFormatPr baseColWidth="10" defaultRowHeight="16" x14ac:dyDescent="0.2"/>
  <sheetData>
    <row r="1" spans="1:12" x14ac:dyDescent="0.2">
      <c r="A1" t="s">
        <v>0</v>
      </c>
      <c r="B1" t="s">
        <v>73</v>
      </c>
      <c r="C1" t="s">
        <v>72</v>
      </c>
      <c r="D1" t="s">
        <v>71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70</v>
      </c>
    </row>
    <row r="2" spans="1:12" x14ac:dyDescent="0.2">
      <c r="A2">
        <v>1</v>
      </c>
      <c r="B2">
        <v>648947.35149137001</v>
      </c>
      <c r="C2">
        <v>6345</v>
      </c>
      <c r="D2">
        <v>896422.17372514296</v>
      </c>
      <c r="E2">
        <v>2844990137.0868301</v>
      </c>
      <c r="F2">
        <v>3230254476.6378002</v>
      </c>
      <c r="G2">
        <v>6075244613.7246304</v>
      </c>
      <c r="H2">
        <v>341398816.45042002</v>
      </c>
      <c r="I2">
        <v>387630537.196536</v>
      </c>
      <c r="J2">
        <v>5.5450111782996796</v>
      </c>
      <c r="K2">
        <v>6.4549888217003097</v>
      </c>
      <c r="L2">
        <v>41.303620666839997</v>
      </c>
    </row>
    <row r="3" spans="1:12" x14ac:dyDescent="0.2">
      <c r="A3">
        <v>2</v>
      </c>
      <c r="B3">
        <v>793545.70018893306</v>
      </c>
      <c r="C3">
        <v>7496</v>
      </c>
      <c r="D3">
        <v>1089817.1378904299</v>
      </c>
      <c r="E3">
        <v>4392000586.3037996</v>
      </c>
      <c r="F3">
        <v>4380904317.7377796</v>
      </c>
      <c r="G3">
        <v>8772904904.0415897</v>
      </c>
      <c r="H3">
        <v>527040070.35645598</v>
      </c>
      <c r="I3">
        <v>525708518.12853402</v>
      </c>
      <c r="J3">
        <v>5.8439507685413901</v>
      </c>
      <c r="K3">
        <v>6.1560492314586099</v>
      </c>
      <c r="L3">
        <v>43.0382308691931</v>
      </c>
    </row>
    <row r="4" spans="1:12" x14ac:dyDescent="0.2">
      <c r="A4">
        <v>3</v>
      </c>
      <c r="B4">
        <v>840794.53356600797</v>
      </c>
      <c r="C4">
        <v>7683</v>
      </c>
      <c r="D4">
        <v>1151454.4721846599</v>
      </c>
      <c r="E4">
        <v>5196718803.2028103</v>
      </c>
      <c r="F4">
        <v>4825820056.2293196</v>
      </c>
      <c r="G4">
        <v>10022538859.4321</v>
      </c>
      <c r="H4">
        <v>623606256.38433695</v>
      </c>
      <c r="I4">
        <v>579098406.74751794</v>
      </c>
      <c r="J4">
        <v>6.0123375000797301</v>
      </c>
      <c r="K4">
        <v>5.9876624999202601</v>
      </c>
      <c r="L4">
        <v>43.825407370261701</v>
      </c>
    </row>
    <row r="5" spans="1:12" x14ac:dyDescent="0.2">
      <c r="A5">
        <v>4</v>
      </c>
      <c r="B5">
        <v>908975.75731956004</v>
      </c>
      <c r="C5">
        <v>7770</v>
      </c>
      <c r="D5">
        <v>1222612.4450381901</v>
      </c>
      <c r="E5">
        <v>6552979787.26719</v>
      </c>
      <c r="F5">
        <v>5846678315.1264095</v>
      </c>
      <c r="G5">
        <v>12399658102.393499</v>
      </c>
      <c r="H5">
        <v>786357574.47206199</v>
      </c>
      <c r="I5">
        <v>701601397.81516898</v>
      </c>
      <c r="J5">
        <v>6.1368050737206303</v>
      </c>
      <c r="K5">
        <v>5.8631949262793599</v>
      </c>
      <c r="L5">
        <v>44.266407188619297</v>
      </c>
    </row>
    <row r="6" spans="1:12" x14ac:dyDescent="0.2">
      <c r="A6">
        <v>5</v>
      </c>
      <c r="B6">
        <v>1019996.63368056</v>
      </c>
      <c r="C6">
        <v>8235</v>
      </c>
      <c r="D6">
        <v>1386220.24466587</v>
      </c>
      <c r="E6">
        <v>8377555433.59727</v>
      </c>
      <c r="F6">
        <v>6993075532.0031404</v>
      </c>
      <c r="G6">
        <v>15370630965.600401</v>
      </c>
      <c r="H6">
        <v>1005306652.03167</v>
      </c>
      <c r="I6">
        <v>839169063.84037697</v>
      </c>
      <c r="J6">
        <v>6.2992726597596098</v>
      </c>
      <c r="K6">
        <v>5.7007273402403804</v>
      </c>
      <c r="L6">
        <v>44.9469286075675</v>
      </c>
    </row>
    <row r="7" spans="1:12" x14ac:dyDescent="0.2">
      <c r="A7">
        <v>6</v>
      </c>
      <c r="B7">
        <v>1068484.42046699</v>
      </c>
      <c r="C7">
        <v>8090</v>
      </c>
      <c r="D7">
        <v>1457594.51263257</v>
      </c>
      <c r="E7">
        <v>9777427638.5063801</v>
      </c>
      <c r="F7">
        <v>7954862021.8083601</v>
      </c>
      <c r="G7">
        <v>17732289660.314701</v>
      </c>
      <c r="H7">
        <v>1173291316.62076</v>
      </c>
      <c r="I7">
        <v>954583442.61700296</v>
      </c>
      <c r="J7">
        <v>6.3991153764538398</v>
      </c>
      <c r="K7">
        <v>5.6008846235461496</v>
      </c>
      <c r="L7">
        <v>45.1904813041482</v>
      </c>
    </row>
    <row r="8" spans="1:12" x14ac:dyDescent="0.2">
      <c r="A8">
        <v>7</v>
      </c>
      <c r="B8">
        <v>1067983.3396169899</v>
      </c>
      <c r="C8">
        <v>8139</v>
      </c>
      <c r="D8">
        <v>1451455.00675021</v>
      </c>
      <c r="E8">
        <v>10970462209.058901</v>
      </c>
      <c r="F8">
        <v>8637121603.0767307</v>
      </c>
      <c r="G8">
        <v>19607583812.1357</v>
      </c>
      <c r="H8">
        <v>1316455465.08707</v>
      </c>
      <c r="I8">
        <v>1036454592.3692</v>
      </c>
      <c r="J8">
        <v>6.5388442031886003</v>
      </c>
      <c r="K8">
        <v>5.4611557968113802</v>
      </c>
      <c r="L8">
        <v>45.717819613018399</v>
      </c>
    </row>
    <row r="9" spans="1:12" x14ac:dyDescent="0.2">
      <c r="A9">
        <v>8</v>
      </c>
      <c r="B9">
        <v>1082721.2222724201</v>
      </c>
      <c r="C9">
        <v>7994</v>
      </c>
      <c r="D9">
        <v>1455780.8477189201</v>
      </c>
      <c r="E9">
        <v>13004168528.8622</v>
      </c>
      <c r="F9">
        <v>10020942588.805</v>
      </c>
      <c r="G9">
        <v>23025111117.667198</v>
      </c>
      <c r="H9">
        <v>1560500223.46346</v>
      </c>
      <c r="I9">
        <v>1202513110.6566</v>
      </c>
      <c r="J9">
        <v>6.6412796233741496</v>
      </c>
      <c r="K9">
        <v>5.3587203766258398</v>
      </c>
      <c r="L9">
        <v>45.868955833817502</v>
      </c>
    </row>
    <row r="10" spans="1:12" x14ac:dyDescent="0.2">
      <c r="A10">
        <v>9</v>
      </c>
      <c r="B10">
        <v>1105513.4384469399</v>
      </c>
      <c r="C10">
        <v>7973</v>
      </c>
      <c r="D10">
        <v>1502376.64967517</v>
      </c>
      <c r="E10">
        <v>16307776495.1884</v>
      </c>
      <c r="F10">
        <v>11881403837.1026</v>
      </c>
      <c r="G10">
        <v>28189180332.2911</v>
      </c>
      <c r="H10">
        <v>1956933179.42261</v>
      </c>
      <c r="I10">
        <v>1425768460.4523101</v>
      </c>
      <c r="J10">
        <v>6.82997010232903</v>
      </c>
      <c r="K10">
        <v>5.1700298976709602</v>
      </c>
      <c r="L10">
        <v>46.234534576527601</v>
      </c>
    </row>
    <row r="11" spans="1:12" x14ac:dyDescent="0.2">
      <c r="A11">
        <v>10</v>
      </c>
      <c r="B11">
        <v>1036116.8248895</v>
      </c>
      <c r="C11">
        <v>7721</v>
      </c>
      <c r="D11">
        <v>1395352.09435702</v>
      </c>
      <c r="E11">
        <v>23697928415.361401</v>
      </c>
      <c r="F11">
        <v>16355958699.1103</v>
      </c>
      <c r="G11">
        <v>40053887114.471802</v>
      </c>
      <c r="H11">
        <v>2843751409.84337</v>
      </c>
      <c r="I11">
        <v>1962715043.89324</v>
      </c>
      <c r="J11">
        <v>7.0943624172330901</v>
      </c>
      <c r="K11">
        <v>4.9056375827669001</v>
      </c>
      <c r="L11">
        <v>46.259967942541799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EC793-A1C4-FF48-AB6B-B60CEDF4D66E}">
  <dimension ref="A1:K15"/>
  <sheetViews>
    <sheetView workbookViewId="0">
      <selection activeCell="M30" sqref="M30"/>
    </sheetView>
  </sheetViews>
  <sheetFormatPr baseColWidth="10" defaultRowHeight="16" x14ac:dyDescent="0.2"/>
  <cols>
    <col min="2" max="2" width="17.5" bestFit="1" customWidth="1"/>
    <col min="3" max="3" width="23.5" bestFit="1" customWidth="1"/>
    <col min="4" max="4" width="26.33203125" customWidth="1"/>
    <col min="5" max="5" width="24.1640625" customWidth="1"/>
    <col min="6" max="7" width="16.6640625" bestFit="1" customWidth="1"/>
    <col min="8" max="11" width="11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1">
        <v>5.7081655079756999</v>
      </c>
      <c r="I2" s="1">
        <v>6.2918344920242903</v>
      </c>
      <c r="J2" s="1">
        <v>5.7583286375449596</v>
      </c>
      <c r="K2" s="1">
        <v>6.2416713624550297</v>
      </c>
    </row>
    <row r="3" spans="1:11" x14ac:dyDescent="0.2">
      <c r="A3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1">
        <v>6.0303049401519999</v>
      </c>
      <c r="I3" s="1">
        <v>5.9696950598479903</v>
      </c>
      <c r="J3" s="1">
        <v>6.11942752653938</v>
      </c>
      <c r="K3" s="1">
        <v>5.8805724734606102</v>
      </c>
    </row>
    <row r="4" spans="1:11" x14ac:dyDescent="0.2">
      <c r="A4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1">
        <v>6.1898610711613902</v>
      </c>
      <c r="I4" s="1">
        <v>5.8101389288386098</v>
      </c>
      <c r="J4" s="1">
        <v>6.3242175452557801</v>
      </c>
      <c r="K4" s="1">
        <v>5.6757824547442102</v>
      </c>
    </row>
    <row r="5" spans="1:11" x14ac:dyDescent="0.2">
      <c r="A5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1">
        <v>6.2902942340410304</v>
      </c>
      <c r="I5" s="1">
        <v>5.7097057659589598</v>
      </c>
      <c r="J5" s="1">
        <v>6.4297615001495503</v>
      </c>
      <c r="K5" s="1">
        <v>5.57023849985044</v>
      </c>
    </row>
    <row r="6" spans="1:11" x14ac:dyDescent="0.2">
      <c r="A6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1">
        <v>6.4047799708266</v>
      </c>
      <c r="I6" s="1">
        <v>5.5952200291733902</v>
      </c>
      <c r="J6" s="1">
        <v>6.5727424050960996</v>
      </c>
      <c r="K6" s="1">
        <v>5.4272575949038897</v>
      </c>
    </row>
    <row r="7" spans="1:11" x14ac:dyDescent="0.2">
      <c r="A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1">
        <v>6.4988720176579404</v>
      </c>
      <c r="I7" s="1">
        <v>5.5011279823420498</v>
      </c>
      <c r="J7" s="1">
        <v>6.6580297001878996</v>
      </c>
      <c r="K7" s="1">
        <v>5.3419702998121004</v>
      </c>
    </row>
    <row r="8" spans="1:11" x14ac:dyDescent="0.2">
      <c r="A8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1">
        <v>6.62365764514223</v>
      </c>
      <c r="I8" s="1">
        <v>5.3763423548577602</v>
      </c>
      <c r="J8" s="1">
        <v>6.7473195726046598</v>
      </c>
      <c r="K8" s="1">
        <v>5.2526804273953296</v>
      </c>
    </row>
    <row r="9" spans="1:11" x14ac:dyDescent="0.2">
      <c r="A9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1">
        <v>6.7137976077127703</v>
      </c>
      <c r="I9" s="1">
        <v>5.2862023922872199</v>
      </c>
      <c r="J9" s="1">
        <v>6.8176853443688001</v>
      </c>
      <c r="K9" s="1">
        <v>5.1823146556311901</v>
      </c>
    </row>
    <row r="10" spans="1:11" x14ac:dyDescent="0.2">
      <c r="A10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1">
        <v>6.8620584936718902</v>
      </c>
      <c r="I10" s="1">
        <v>5.1379415063281</v>
      </c>
      <c r="J10" s="1">
        <v>6.9549012826010399</v>
      </c>
      <c r="K10" s="1">
        <v>5.0450987173989601</v>
      </c>
    </row>
    <row r="11" spans="1:11" x14ac:dyDescent="0.2">
      <c r="A1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1">
        <v>7.1193827019703901</v>
      </c>
      <c r="I11" s="1">
        <v>4.8806172980296099</v>
      </c>
      <c r="J11" s="1">
        <v>7.2019471694935504</v>
      </c>
      <c r="K11" s="1">
        <v>4.7980528305064398</v>
      </c>
    </row>
    <row r="12" spans="1:11" s="4" customFormat="1" x14ac:dyDescent="0.2">
      <c r="A12" s="4" t="s">
        <v>74</v>
      </c>
      <c r="B12" s="5">
        <f>SUM(B2:B11)</f>
        <v>27479695.00677811</v>
      </c>
      <c r="C12" s="5">
        <f>SUM(C2:C11)</f>
        <v>283018492377.6701</v>
      </c>
      <c r="D12" s="5">
        <f>SUM(D2:D11)</f>
        <v>223463602629.93637</v>
      </c>
      <c r="E12" s="5">
        <f>SUM(E2:E11)</f>
        <v>506482095007.60669</v>
      </c>
      <c r="F12" s="5">
        <f>SUM(F2:F11)</f>
        <v>33962219085.320412</v>
      </c>
      <c r="G12" s="5">
        <f>SUM(G2:G11)</f>
        <v>26815632315.592361</v>
      </c>
    </row>
    <row r="13" spans="1:11" x14ac:dyDescent="0.2">
      <c r="C13" s="6">
        <f>C12/E12</f>
        <v>0.558792690141237</v>
      </c>
      <c r="D13" s="6">
        <f>D12/E12</f>
        <v>0.44120730985876261</v>
      </c>
    </row>
    <row r="14" spans="1:11" x14ac:dyDescent="0.2">
      <c r="C14" s="3">
        <f>C12*12</f>
        <v>3396221908532.041</v>
      </c>
      <c r="D14" s="3">
        <f>D12*12</f>
        <v>2681563231559.2363</v>
      </c>
      <c r="E14" s="3">
        <f>E12*12</f>
        <v>6077785140091.2803</v>
      </c>
    </row>
    <row r="15" spans="1:11" x14ac:dyDescent="0.2">
      <c r="C15" s="3">
        <f>C14*0.12</f>
        <v>407546629023.84491</v>
      </c>
      <c r="D15" s="3">
        <f>D14*0.12</f>
        <v>321787587787.10834</v>
      </c>
      <c r="E15" s="3">
        <f>E14*0.12</f>
        <v>729334216810.95361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A5D6B-21BD-1148-9FD5-75D290EA934C}">
  <dimension ref="A1:M11"/>
  <sheetViews>
    <sheetView workbookViewId="0">
      <selection activeCell="D32" sqref="D32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20</v>
      </c>
      <c r="D1" t="s">
        <v>19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</row>
    <row r="2" spans="1:13" x14ac:dyDescent="0.2">
      <c r="A2">
        <v>1</v>
      </c>
      <c r="B2">
        <v>2747642.50515944</v>
      </c>
      <c r="C2">
        <v>32807166219.147499</v>
      </c>
      <c r="D2">
        <v>29276373226.599098</v>
      </c>
      <c r="E2">
        <v>12730887016.797501</v>
      </c>
      <c r="F2">
        <v>13799492511.298201</v>
      </c>
      <c r="G2">
        <v>26530379528.095699</v>
      </c>
      <c r="H2">
        <v>47.9860719795413</v>
      </c>
      <c r="I2">
        <v>52.0139280204586</v>
      </c>
      <c r="J2">
        <v>38.805201679891702</v>
      </c>
      <c r="K2">
        <v>42.062433613191203</v>
      </c>
      <c r="L2">
        <v>43.485191687715101</v>
      </c>
      <c r="M2">
        <v>47.135252732605103</v>
      </c>
    </row>
    <row r="3" spans="1:13" x14ac:dyDescent="0.2">
      <c r="A3">
        <v>2</v>
      </c>
      <c r="B3">
        <v>2748295.6540946802</v>
      </c>
      <c r="C3">
        <v>41822410674.936996</v>
      </c>
      <c r="D3">
        <v>35426039310.566101</v>
      </c>
      <c r="E3">
        <v>16171881744.9347</v>
      </c>
      <c r="F3">
        <v>15540656739.6842</v>
      </c>
      <c r="G3">
        <v>31712538484.6189</v>
      </c>
      <c r="H3">
        <v>50.995229387828097</v>
      </c>
      <c r="I3">
        <v>49.004770612171797</v>
      </c>
      <c r="J3">
        <v>38.667980835992402</v>
      </c>
      <c r="K3">
        <v>37.158682364039997</v>
      </c>
      <c r="L3">
        <v>45.649703042336199</v>
      </c>
      <c r="M3">
        <v>43.8678922118429</v>
      </c>
    </row>
    <row r="4" spans="1:13" x14ac:dyDescent="0.2">
      <c r="A4">
        <v>3</v>
      </c>
      <c r="B4">
        <v>2747874.69444041</v>
      </c>
      <c r="C4">
        <v>47728594014.963997</v>
      </c>
      <c r="D4">
        <v>39497871055.729301</v>
      </c>
      <c r="E4">
        <v>18492395560.589802</v>
      </c>
      <c r="F4">
        <v>16596332039.166201</v>
      </c>
      <c r="G4">
        <v>35088727599.755997</v>
      </c>
      <c r="H4">
        <v>52.701812877131502</v>
      </c>
      <c r="I4">
        <v>47.298187122868399</v>
      </c>
      <c r="J4">
        <v>38.744899032207101</v>
      </c>
      <c r="K4">
        <v>34.772304488925201</v>
      </c>
      <c r="L4">
        <v>46.8187146960353</v>
      </c>
      <c r="M4">
        <v>42.018295152540503</v>
      </c>
    </row>
    <row r="5" spans="1:13" x14ac:dyDescent="0.2">
      <c r="A5">
        <v>4</v>
      </c>
      <c r="B5">
        <v>2747979.4784429399</v>
      </c>
      <c r="C5">
        <v>55228987672.520798</v>
      </c>
      <c r="D5">
        <v>44792749154.822098</v>
      </c>
      <c r="E5">
        <v>21174220742.446899</v>
      </c>
      <c r="F5">
        <v>18343675668.4002</v>
      </c>
      <c r="G5">
        <v>39517896410.847198</v>
      </c>
      <c r="H5">
        <v>53.581345834579601</v>
      </c>
      <c r="I5">
        <v>46.4186541654203</v>
      </c>
      <c r="J5">
        <v>38.338962263800802</v>
      </c>
      <c r="K5">
        <v>33.213854610496703</v>
      </c>
      <c r="L5">
        <v>47.271536447249801</v>
      </c>
      <c r="M5">
        <v>40.952332720184103</v>
      </c>
    </row>
    <row r="6" spans="1:13" x14ac:dyDescent="0.2">
      <c r="A6">
        <v>5</v>
      </c>
      <c r="B6">
        <v>2747628.8515828899</v>
      </c>
      <c r="C6">
        <v>62300009849.796898</v>
      </c>
      <c r="D6">
        <v>49501029635.587097</v>
      </c>
      <c r="E6">
        <v>23802239836.017101</v>
      </c>
      <c r="F6">
        <v>19654031599.593601</v>
      </c>
      <c r="G6">
        <v>43456271435.610802</v>
      </c>
      <c r="H6">
        <v>54.7728533758008</v>
      </c>
      <c r="I6">
        <v>45.227146624199101</v>
      </c>
      <c r="J6">
        <v>38.205836392969204</v>
      </c>
      <c r="K6">
        <v>31.547397258810701</v>
      </c>
      <c r="L6">
        <v>48.084332813362899</v>
      </c>
      <c r="M6">
        <v>39.704288464868696</v>
      </c>
    </row>
    <row r="7" spans="1:13" x14ac:dyDescent="0.2">
      <c r="A7">
        <v>6</v>
      </c>
      <c r="B7">
        <v>2748336.9317767601</v>
      </c>
      <c r="C7">
        <v>70697712578.309692</v>
      </c>
      <c r="D7">
        <v>54853430904.834999</v>
      </c>
      <c r="E7">
        <v>26514380477.310398</v>
      </c>
      <c r="F7">
        <v>21273415620.797298</v>
      </c>
      <c r="G7">
        <v>47787796098.107697</v>
      </c>
      <c r="H7">
        <v>55.4835808348992</v>
      </c>
      <c r="I7">
        <v>44.5164191651008</v>
      </c>
      <c r="J7">
        <v>37.503873195248303</v>
      </c>
      <c r="K7">
        <v>30.090670327181201</v>
      </c>
      <c r="L7">
        <v>48.336776824972098</v>
      </c>
      <c r="M7">
        <v>38.782288126524797</v>
      </c>
    </row>
    <row r="8" spans="1:13" x14ac:dyDescent="0.2">
      <c r="A8">
        <v>7</v>
      </c>
      <c r="B8">
        <v>2747846.3569293302</v>
      </c>
      <c r="C8">
        <v>80541995781.497406</v>
      </c>
      <c r="D8">
        <v>60962714759.237099</v>
      </c>
      <c r="E8">
        <v>29745178079.321999</v>
      </c>
      <c r="F8">
        <v>23156145640.561298</v>
      </c>
      <c r="G8">
        <v>52901323719.883301</v>
      </c>
      <c r="H8">
        <v>56.2276631050388</v>
      </c>
      <c r="I8">
        <v>43.7723368949611</v>
      </c>
      <c r="J8">
        <v>36.931265224688197</v>
      </c>
      <c r="K8">
        <v>28.750399609393401</v>
      </c>
      <c r="L8">
        <v>48.792410568978099</v>
      </c>
      <c r="M8">
        <v>37.984111652528803</v>
      </c>
    </row>
    <row r="9" spans="1:13" x14ac:dyDescent="0.2">
      <c r="A9">
        <v>8</v>
      </c>
      <c r="B9">
        <v>2747984.4327531499</v>
      </c>
      <c r="C9">
        <v>95316514865.332199</v>
      </c>
      <c r="D9">
        <v>69592985603.748001</v>
      </c>
      <c r="E9">
        <v>33990731017.6814</v>
      </c>
      <c r="F9">
        <v>25837312021.747002</v>
      </c>
      <c r="G9">
        <v>59828043039.428398</v>
      </c>
      <c r="H9">
        <v>56.814044536406598</v>
      </c>
      <c r="I9">
        <v>43.185955463593302</v>
      </c>
      <c r="J9">
        <v>35.6609041630457</v>
      </c>
      <c r="K9">
        <v>27.106857671255799</v>
      </c>
      <c r="L9">
        <v>48.842179600138799</v>
      </c>
      <c r="M9">
        <v>37.126316391799499</v>
      </c>
    </row>
    <row r="10" spans="1:13" x14ac:dyDescent="0.2">
      <c r="A10">
        <v>9</v>
      </c>
      <c r="B10">
        <v>2748042.5822946099</v>
      </c>
      <c r="C10">
        <v>117372854152.933</v>
      </c>
      <c r="D10">
        <v>82061193028.969299</v>
      </c>
      <c r="E10">
        <v>40157035542.102303</v>
      </c>
      <c r="F10">
        <v>29129990531.2584</v>
      </c>
      <c r="G10">
        <v>69287026073.360703</v>
      </c>
      <c r="H10">
        <v>57.957510688341998</v>
      </c>
      <c r="I10">
        <v>42.042489311658002</v>
      </c>
      <c r="J10">
        <v>34.213222326330097</v>
      </c>
      <c r="K10">
        <v>24.818337034986602</v>
      </c>
      <c r="L10">
        <v>48.935476148788197</v>
      </c>
      <c r="M10">
        <v>35.497888168619298</v>
      </c>
    </row>
    <row r="11" spans="1:13" x14ac:dyDescent="0.2">
      <c r="A11">
        <v>10</v>
      </c>
      <c r="B11">
        <v>2748063.5193039002</v>
      </c>
      <c r="C11">
        <v>205068163103.01001</v>
      </c>
      <c r="D11">
        <v>124958992792.82401</v>
      </c>
      <c r="E11">
        <v>60239542360.468002</v>
      </c>
      <c r="F11">
        <v>40132550257.43</v>
      </c>
      <c r="G11">
        <v>100372092617.89799</v>
      </c>
      <c r="H11">
        <v>60.016226412446201</v>
      </c>
      <c r="I11">
        <v>39.9837735875536</v>
      </c>
      <c r="J11">
        <v>29.3753752161949</v>
      </c>
      <c r="K11">
        <v>19.5703465863057</v>
      </c>
      <c r="L11">
        <v>48.207448711067798</v>
      </c>
      <c r="M11">
        <v>32.116576294726997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main_summary</vt:lpstr>
      <vt:lpstr>tax_share</vt:lpstr>
      <vt:lpstr>budget_share</vt:lpstr>
      <vt:lpstr>tax_share_bydecile</vt:lpstr>
      <vt:lpstr>exempt_by_category</vt:lpstr>
      <vt:lpstr>vat_paid_and_foregone</vt:lpstr>
      <vt:lpstr>senior_summary</vt:lpstr>
      <vt:lpstr>xxmain_summary</vt:lpstr>
      <vt:lpstr>xx-tax_share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2026-02-03T10:00:44Z</dcterms:created>
  <dcterms:modified xsi:type="dcterms:W3CDTF">2026-02-03T11:04:30Z</dcterms:modified>
</cp:coreProperties>
</file>