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eiyu/Documents/Projects/vat_burden_analysis/outputs/feb3/"/>
    </mc:Choice>
  </mc:AlternateContent>
  <xr:revisionPtr revIDLastSave="0" documentId="13_ncr:1_{B5BD7F2A-D576-F649-BF2A-DE4B185A3500}" xr6:coauthVersionLast="47" xr6:coauthVersionMax="47" xr10:uidLastSave="{00000000-0000-0000-0000-000000000000}"/>
  <bookViews>
    <workbookView xWindow="5080" yWindow="1360" windowWidth="27880" windowHeight="17440" activeTab="2" xr2:uid="{30613F82-6F92-CA4A-972E-4B9F4D12BC37}"/>
  </bookViews>
  <sheets>
    <sheet name="main_summary" sheetId="8" r:id="rId1"/>
    <sheet name="tax_share" sheetId="9" r:id="rId2"/>
    <sheet name="budget_share" sheetId="4" r:id="rId3"/>
    <sheet name="tax_share_with_ratios" sheetId="10" r:id="rId4"/>
    <sheet name="exempt_educ_health" sheetId="11" r:id="rId5"/>
    <sheet name="exempt_by_category" sheetId="5" r:id="rId6"/>
    <sheet name="tax_share_bydecile" sheetId="3" r:id="rId7"/>
    <sheet name="vat_paid_and_foregone" sheetId="6" r:id="rId8"/>
    <sheet name="senior_summary" sheetId="7" r:id="rId9"/>
    <sheet name="xxmain_summary" sheetId="1" r:id="rId10"/>
    <sheet name="xx-tax_share" sheetId="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4" l="1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X14" i="11"/>
  <c r="L14" i="11"/>
  <c r="K14" i="11"/>
  <c r="AB12" i="11"/>
  <c r="AB3" i="11"/>
  <c r="AB4" i="11"/>
  <c r="AB5" i="11"/>
  <c r="AB6" i="11"/>
  <c r="AB7" i="11"/>
  <c r="AB8" i="11"/>
  <c r="AB9" i="11"/>
  <c r="AB10" i="11"/>
  <c r="AB11" i="11"/>
  <c r="AB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A12" i="11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19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33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19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M12" i="5" l="1"/>
  <c r="L12" i="5"/>
  <c r="K12" i="5"/>
  <c r="J12" i="5"/>
  <c r="I12" i="5"/>
  <c r="H12" i="5"/>
  <c r="G12" i="5"/>
  <c r="F12" i="5"/>
  <c r="E12" i="5"/>
  <c r="D12" i="5"/>
  <c r="C12" i="5"/>
  <c r="B12" i="5"/>
  <c r="G12" i="9"/>
  <c r="F12" i="9"/>
  <c r="E12" i="9"/>
  <c r="D12" i="9"/>
  <c r="C12" i="9"/>
  <c r="B12" i="9"/>
  <c r="H20" i="8"/>
  <c r="H12" i="8"/>
  <c r="H13" i="8" s="1"/>
  <c r="H24" i="8" s="1"/>
  <c r="G24" i="8" s="1"/>
  <c r="G12" i="8"/>
  <c r="G13" i="8" s="1"/>
  <c r="F12" i="8"/>
  <c r="F13" i="8" s="1"/>
  <c r="E12" i="8"/>
  <c r="E13" i="8" s="1"/>
  <c r="E14" i="8" s="1"/>
  <c r="D12" i="8"/>
  <c r="D13" i="8" s="1"/>
  <c r="D14" i="8" s="1"/>
  <c r="C12" i="8"/>
  <c r="C13" i="8" s="1"/>
  <c r="C14" i="8" s="1"/>
  <c r="B12" i="8"/>
  <c r="F13" i="5" l="1"/>
  <c r="H13" i="5"/>
  <c r="G13" i="5"/>
  <c r="M12" i="9"/>
  <c r="I13" i="5"/>
  <c r="M13" i="5"/>
  <c r="L12" i="9"/>
  <c r="H23" i="8"/>
  <c r="G23" i="8" s="1"/>
  <c r="K12" i="9"/>
  <c r="I12" i="9"/>
  <c r="J13" i="5"/>
  <c r="H12" i="9"/>
  <c r="D13" i="5"/>
  <c r="J12" i="9"/>
  <c r="H22" i="8"/>
  <c r="L13" i="5"/>
  <c r="K13" i="5"/>
  <c r="H14" i="8"/>
  <c r="G18" i="8"/>
  <c r="C15" i="8"/>
  <c r="D15" i="8"/>
  <c r="H19" i="8"/>
  <c r="C18" i="8" s="1"/>
  <c r="B13" i="8"/>
  <c r="G12" i="1"/>
  <c r="F12" i="1"/>
  <c r="E12" i="1"/>
  <c r="E14" i="1" s="1"/>
  <c r="E15" i="1" s="1"/>
  <c r="D12" i="1"/>
  <c r="D14" i="1" s="1"/>
  <c r="D15" i="1" s="1"/>
  <c r="C12" i="1"/>
  <c r="C14" i="1" s="1"/>
  <c r="C15" i="1" s="1"/>
  <c r="B12" i="1"/>
  <c r="H27" i="8" l="1"/>
  <c r="G27" i="8" s="1"/>
  <c r="D18" i="8"/>
  <c r="C13" i="1"/>
  <c r="D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tc={77BF3545-A7F2-0D42-A249-75E67D135E78}</author>
  </authors>
  <commentList>
    <comment ref="B13" authorId="0" shapeId="0" xr:uid="{77BF3545-A7F2-0D42-A249-75E67D135E7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exactly matches the average family expenditures as published by the PSA (see figure below). This means that the procedure to estimate the number of HHs and RFACT-adjusted TOTEX is done correctly!</t>
      </text>
    </comment>
  </commentList>
</comments>
</file>

<file path=xl/sharedStrings.xml><?xml version="1.0" encoding="utf-8"?>
<sst xmlns="http://schemas.openxmlformats.org/spreadsheetml/2006/main" count="284" uniqueCount="149">
  <si>
    <t>NPCINC</t>
  </si>
  <si>
    <t>number_households</t>
  </si>
  <si>
    <t>total_vatable_expenditures</t>
  </si>
  <si>
    <t>total_exempt_expenditures</t>
  </si>
  <si>
    <t>total_expenditures</t>
  </si>
  <si>
    <t>total_vat_paid</t>
  </si>
  <si>
    <t>total_vat_foregone</t>
  </si>
  <si>
    <t>avg_vat_etr</t>
  </si>
  <si>
    <t>avg_vat_foregone_etr</t>
  </si>
  <si>
    <t>sum_vat_etr</t>
  </si>
  <si>
    <t>sum_vat_foregone_etr</t>
  </si>
  <si>
    <t>exempt_share_HHexp</t>
  </si>
  <si>
    <t>vatable_share_HHexp</t>
  </si>
  <si>
    <t>exempt_share_income</t>
  </si>
  <si>
    <t>vatable_share_income</t>
  </si>
  <si>
    <t>exempt_share_exp</t>
  </si>
  <si>
    <t>vatable_share_exp</t>
  </si>
  <si>
    <t>exempt_expenditures</t>
  </si>
  <si>
    <t>vatable_expenditures</t>
  </si>
  <si>
    <t>total_HH_expenditures</t>
  </si>
  <si>
    <t>total_income</t>
  </si>
  <si>
    <t>exempt_share_decile</t>
  </si>
  <si>
    <t>vatable_share_decile</t>
  </si>
  <si>
    <t>family_occasions_share</t>
  </si>
  <si>
    <t>personal_care_share</t>
  </si>
  <si>
    <t>insurance_&amp;financial_share</t>
  </si>
  <si>
    <t>resto_&amp;accomodation_share</t>
  </si>
  <si>
    <t>education_share</t>
  </si>
  <si>
    <t>recreation_share</t>
  </si>
  <si>
    <t>ict_&amp;equipments_share</t>
  </si>
  <si>
    <t>transport_share</t>
  </si>
  <si>
    <t>health_share</t>
  </si>
  <si>
    <t>furnishings_&amp;maintenance_share</t>
  </si>
  <si>
    <t>housing_&amp;utilities_share</t>
  </si>
  <si>
    <t>clothing_share</t>
  </si>
  <si>
    <t>alcohol_&amp;cigarettes_share</t>
  </si>
  <si>
    <t>food_share</t>
  </si>
  <si>
    <t>family_occasions</t>
  </si>
  <si>
    <t>personal_care</t>
  </si>
  <si>
    <t>insurance_&amp;financial</t>
  </si>
  <si>
    <t>resto_&amp;accomodation</t>
  </si>
  <si>
    <t>education</t>
  </si>
  <si>
    <t>recreation</t>
  </si>
  <si>
    <t>ict_&amp;equipments</t>
  </si>
  <si>
    <t>transport</t>
  </si>
  <si>
    <t>health</t>
  </si>
  <si>
    <t>furnishings_&amp;maintenance</t>
  </si>
  <si>
    <t>housing_&amp;utilities</t>
  </si>
  <si>
    <t>clothing</t>
  </si>
  <si>
    <t>alcohol_&amp;cigarettes</t>
  </si>
  <si>
    <t>food</t>
  </si>
  <si>
    <t>insurance_&amp;financial_exempt_share</t>
  </si>
  <si>
    <t>education_exempt_share</t>
  </si>
  <si>
    <t>recreation_exempt_share</t>
  </si>
  <si>
    <t>transport_exempt_share</t>
  </si>
  <si>
    <t>health_exempt_share</t>
  </si>
  <si>
    <t>furnishings_&amp;maintenance_exempt_share</t>
  </si>
  <si>
    <t>housing_&amp;utilities_exempt_share</t>
  </si>
  <si>
    <t>food_exempt_share</t>
  </si>
  <si>
    <t>insurance_&amp;financial_exempt</t>
  </si>
  <si>
    <t>education_exempt</t>
  </si>
  <si>
    <t>recreation_exempt</t>
  </si>
  <si>
    <t>transport_exempt</t>
  </si>
  <si>
    <t>health_exempt</t>
  </si>
  <si>
    <t>furnishings_&amp;maintenance_exempt</t>
  </si>
  <si>
    <t>housing_&amp;utilities_exempt</t>
  </si>
  <si>
    <t>food_exempt</t>
  </si>
  <si>
    <t>effective_vat_rate</t>
  </si>
  <si>
    <t>estimated_vat_foregone</t>
  </si>
  <si>
    <t>estimated_vat_paid</t>
  </si>
  <si>
    <t>avg_vat_to_total</t>
  </si>
  <si>
    <t>weighted_number_seniors</t>
  </si>
  <si>
    <t>number_seniors</t>
  </si>
  <si>
    <t>number_households_with_seniors</t>
  </si>
  <si>
    <t>TOTAL</t>
  </si>
  <si>
    <t>total_FIES_expenditures</t>
  </si>
  <si>
    <t>TOTAL MONTHLY</t>
  </si>
  <si>
    <t>TOTAL ANNUAL</t>
  </si>
  <si>
    <t>ESTIMATED VAT DUE</t>
  </si>
  <si>
    <t>Grossed up based on total value of HFCE</t>
  </si>
  <si>
    <t>Estimated VAT collection</t>
  </si>
  <si>
    <t>total_expenditures (sum of col C &amp; D)</t>
  </si>
  <si>
    <t>Estimated VAT foregone</t>
  </si>
  <si>
    <t>times over total FIES expenditures</t>
  </si>
  <si>
    <t>Potential VAT based on PSA HFCE</t>
  </si>
  <si>
    <t>*VAT, if 100% coll efficiency and no exemptions</t>
  </si>
  <si>
    <t>The average annual income of Filipino families in 2023 was estimated at PhP 353.23 thousand.</t>
  </si>
  <si>
    <r>
      <t xml:space="preserve">Meanwhile, Filipino families spent an average of </t>
    </r>
    <r>
      <rPr>
        <b/>
        <sz val="12"/>
        <color rgb="FFFF0000"/>
        <rFont val="Aptos Narrow (Body)"/>
      </rPr>
      <t>PhP 258.05</t>
    </r>
    <r>
      <rPr>
        <sz val="12"/>
        <color rgb="FF35363A"/>
        <rFont val="Aptos Narrow"/>
        <scheme val="minor"/>
      </rPr>
      <t xml:space="preserve"> thousand in 2023, an increase of 12.8 percent compared to the PhP 228.80 thousand expenditure in 2021.</t>
    </r>
  </si>
  <si>
    <t>Difference between TOTEX and computed total expenditures (C + D)</t>
  </si>
  <si>
    <t xml:space="preserve">The rest of the discrepancy comes from: </t>
  </si>
  <si>
    <t>Bulk of this amount is from imputed rents (columns 421000 &amp; 422000), which were</t>
  </si>
  <si>
    <t>of the TOTEX items are included in the analysis</t>
  </si>
  <si>
    <t>Only over half of the total expenditures are vatable, the remaining 44% are spent on exempt goods/services</t>
  </si>
  <si>
    <t>PSA Household final consumption expenditure (National Accounts)</t>
  </si>
  <si>
    <t>excluded from the total since these are not market transactions but only used to measure the value of owner-occupied dwelling</t>
  </si>
  <si>
    <t>*Imputed rent is the amount that should be paid on the market by the owner occupier for the same size, quality and type of accommodation.</t>
  </si>
  <si>
    <t>Other expenditures: taxes, gifts/contribution to others, losses due to fire/theft</t>
  </si>
  <si>
    <t>Other  disbursements: payments of cash loan, loans granted, amount deposited in banks/investments</t>
  </si>
  <si>
    <t>Other one-time big purchases which may not represent the actual expenditure pattern for the year</t>
  </si>
  <si>
    <t>Purchase/amortization of real property, construction of new house, major repair of the house, Installments for appliances/personal transport</t>
  </si>
  <si>
    <t>*Anyway there are spending on durables in other categories in FIES</t>
  </si>
  <si>
    <t>Total expenditures</t>
  </si>
  <si>
    <t>Exempt</t>
  </si>
  <si>
    <t>Share of Expenditures, by category</t>
  </si>
  <si>
    <t>Alcoholic beverages, tobacco</t>
  </si>
  <si>
    <t>Clothing and footwear</t>
  </si>
  <si>
    <t>Health</t>
  </si>
  <si>
    <t>Transport</t>
  </si>
  <si>
    <t>Education</t>
  </si>
  <si>
    <t>Recreation &amp; culture</t>
  </si>
  <si>
    <t>Household maintenance</t>
  </si>
  <si>
    <t>Housing &amp; utilities</t>
  </si>
  <si>
    <t>Food &amp; non-alcoholic</t>
  </si>
  <si>
    <t>Financial services</t>
  </si>
  <si>
    <t>Household furnishings &amp; maintenance</t>
  </si>
  <si>
    <t>Food &amp; non-alcoholic beverages</t>
  </si>
  <si>
    <t>Restaurants &amp; accomodation</t>
  </si>
  <si>
    <t>Personal care</t>
  </si>
  <si>
    <t>Family occasions</t>
  </si>
  <si>
    <t>Total Expenditures</t>
  </si>
  <si>
    <t>ICT &amp; equipments</t>
  </si>
  <si>
    <t>VAT burden by Decile (In %)</t>
  </si>
  <si>
    <t>exempt_to_TOTALexpenditures</t>
  </si>
  <si>
    <t>exempt_to_FIESexpenditures</t>
  </si>
  <si>
    <t>exempt_to_income</t>
  </si>
  <si>
    <t>vat_to_TOTALexpenditures</t>
  </si>
  <si>
    <t>vat_to_FIESexpenditures</t>
  </si>
  <si>
    <t>vat_to_income</t>
  </si>
  <si>
    <t>estimated_vat_perHH</t>
  </si>
  <si>
    <t>vat_total_educ_health</t>
  </si>
  <si>
    <t>vat_private_health</t>
  </si>
  <si>
    <t>vat_medicines</t>
  </si>
  <si>
    <t>vat_private_educ</t>
  </si>
  <si>
    <t>total_educ_health_share_HHexp</t>
  </si>
  <si>
    <t>private_health_share_HHexp</t>
  </si>
  <si>
    <t>medicines_share_HHexp</t>
  </si>
  <si>
    <t>private_educ_share_HHexp</t>
  </si>
  <si>
    <t>total_educ_health_share_income</t>
  </si>
  <si>
    <t>private_health_share_income</t>
  </si>
  <si>
    <t>medicines_share_income</t>
  </si>
  <si>
    <t>private_educ_share_income</t>
  </si>
  <si>
    <t>total_educ_health_share_exp</t>
  </si>
  <si>
    <t>private_health_share_exp</t>
  </si>
  <si>
    <t>medicines_share_exp</t>
  </si>
  <si>
    <t>private_educ_share_exp</t>
  </si>
  <si>
    <t>total_educ_health_expenditures</t>
  </si>
  <si>
    <t>private_health_expenditures</t>
  </si>
  <si>
    <t>medicines_expenditures</t>
  </si>
  <si>
    <t>private_educ_expenditures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</si>
</sst>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</numFmts>
  <fonts count="2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35363A"/>
      <name val="Aptos Narrow"/>
      <scheme val="minor"/>
    </font>
    <font>
      <b/>
      <sz val="12"/>
      <color rgb="FFFF0000"/>
      <name val="Aptos Narrow (Body)"/>
    </font>
    <font>
      <b/>
      <sz val="14"/>
      <color theme="1"/>
      <name val="Aptos Narrow"/>
      <scheme val="minor"/>
    </font>
    <font>
      <i/>
      <sz val="9"/>
      <color theme="1"/>
      <name val="Helvetica"/>
      <family val="2"/>
    </font>
    <font>
      <sz val="12"/>
      <color rgb="FFFF0000"/>
      <name val="Aptos Narrow"/>
      <scheme val="minor"/>
    </font>
    <font>
      <sz val="11"/>
      <color rgb="FF222222"/>
      <name val="Aptos Narrow"/>
      <family val="2"/>
      <scheme val="minor"/>
    </font>
    <font>
      <b/>
      <sz val="12"/>
      <color rgb="FFFF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18" fillId="0" borderId="0" xfId="0" applyFont="1"/>
    <xf numFmtId="165" fontId="18" fillId="0" borderId="0" xfId="0" applyNumberFormat="1" applyFont="1"/>
    <xf numFmtId="9" fontId="0" fillId="0" borderId="0" xfId="2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9" fontId="18" fillId="0" borderId="0" xfId="2" applyFont="1"/>
    <xf numFmtId="165" fontId="0" fillId="34" borderId="0" xfId="1" applyNumberFormat="1" applyFont="1" applyFill="1"/>
    <xf numFmtId="0" fontId="0" fillId="34" borderId="0" xfId="0" applyFill="1" applyAlignment="1">
      <alignment horizontal="center"/>
    </xf>
    <xf numFmtId="0" fontId="20" fillId="0" borderId="0" xfId="0" applyFont="1"/>
    <xf numFmtId="165" fontId="18" fillId="34" borderId="0" xfId="0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0" fontId="0" fillId="34" borderId="0" xfId="0" applyFill="1"/>
    <xf numFmtId="165" fontId="20" fillId="34" borderId="0" xfId="0" applyNumberFormat="1" applyFont="1" applyFill="1"/>
    <xf numFmtId="0" fontId="21" fillId="34" borderId="0" xfId="0" applyFont="1" applyFill="1"/>
    <xf numFmtId="0" fontId="18" fillId="34" borderId="0" xfId="0" applyFont="1" applyFill="1"/>
    <xf numFmtId="0" fontId="18" fillId="0" borderId="0" xfId="0" applyFont="1" applyAlignment="1">
      <alignment horizontal="center"/>
    </xf>
    <xf numFmtId="165" fontId="19" fillId="33" borderId="0" xfId="1" applyNumberFormat="1" applyFont="1" applyFill="1"/>
    <xf numFmtId="0" fontId="22" fillId="0" borderId="0" xfId="0" applyFont="1"/>
    <xf numFmtId="0" fontId="14" fillId="0" borderId="0" xfId="0" applyFont="1"/>
    <xf numFmtId="165" fontId="14" fillId="0" borderId="0" xfId="0" applyNumberFormat="1" applyFont="1"/>
    <xf numFmtId="0" fontId="21" fillId="0" borderId="0" xfId="0" applyFont="1" applyAlignment="1">
      <alignment horizontal="left"/>
    </xf>
    <xf numFmtId="164" fontId="18" fillId="0" borderId="0" xfId="0" applyNumberFormat="1" applyFont="1"/>
    <xf numFmtId="0" fontId="24" fillId="0" borderId="0" xfId="0" applyFont="1"/>
    <xf numFmtId="10" fontId="0" fillId="0" borderId="0" xfId="2" applyNumberFormat="1" applyFont="1"/>
    <xf numFmtId="0" fontId="25" fillId="0" borderId="0" xfId="0" applyFont="1"/>
    <xf numFmtId="0" fontId="26" fillId="0" borderId="0" xfId="0" applyFont="1"/>
    <xf numFmtId="0" fontId="0" fillId="0" borderId="0" xfId="0" applyAlignment="1">
      <alignment horizontal="center" vertical="center"/>
    </xf>
    <xf numFmtId="43" fontId="0" fillId="0" borderId="0" xfId="1" applyFont="1"/>
    <xf numFmtId="166" fontId="0" fillId="0" borderId="0" xfId="2" applyNumberFormat="1" applyFont="1"/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165" fontId="0" fillId="0" borderId="10" xfId="1" applyNumberFormat="1" applyFont="1" applyBorder="1"/>
    <xf numFmtId="9" fontId="0" fillId="0" borderId="10" xfId="2" applyFont="1" applyBorder="1"/>
    <xf numFmtId="0" fontId="27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/>
    </xf>
    <xf numFmtId="164" fontId="0" fillId="0" borderId="10" xfId="1" applyNumberFormat="1" applyFont="1" applyBorder="1"/>
    <xf numFmtId="0" fontId="0" fillId="34" borderId="0" xfId="0" applyFill="1" applyAlignment="1">
      <alignment horizontal="center" vertical="center" wrapText="1"/>
    </xf>
    <xf numFmtId="43" fontId="18" fillId="0" borderId="0" xfId="1" applyFont="1"/>
    <xf numFmtId="43" fontId="26" fillId="34" borderId="0" xfId="1" applyFont="1" applyFill="1"/>
    <xf numFmtId="43" fontId="28" fillId="34" borderId="0" xfId="1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148244127711881E-2"/>
          <c:y val="9.5444652861921928E-2"/>
          <c:w val="0.52433609090002997"/>
          <c:h val="0.80484231569499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B8-6341-98E9-04F4EC4F10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B8-6341-98E9-04F4EC4F10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B8-6341-98E9-04F4EC4F10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B8-6341-98E9-04F4EC4F10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B8-6341-98E9-04F4EC4F10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B2-0D43-B6F9-B20D9C5792C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B2-0D43-B6F9-B20D9C5792C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B2-0D43-B6F9-B20D9C5792CF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6B2-0D43-B6F9-B20D9C5792C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6B2-0D43-B6F9-B20D9C5792C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6B2-0D43-B6F9-B20D9C5792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exempt_by_category!$C$16:$C$23</c:f>
              <c:strCache>
                <c:ptCount val="8"/>
                <c:pt idx="0">
                  <c:v>Food &amp; non-alcoholic</c:v>
                </c:pt>
                <c:pt idx="1">
                  <c:v>Education</c:v>
                </c:pt>
                <c:pt idx="2">
                  <c:v>Housing &amp; utilities</c:v>
                </c:pt>
                <c:pt idx="3">
                  <c:v>Transport</c:v>
                </c:pt>
                <c:pt idx="4">
                  <c:v>Financial services</c:v>
                </c:pt>
                <c:pt idx="5">
                  <c:v>Health</c:v>
                </c:pt>
                <c:pt idx="6">
                  <c:v>Household maintenance</c:v>
                </c:pt>
                <c:pt idx="7">
                  <c:v>Recreation &amp; culture</c:v>
                </c:pt>
              </c:strCache>
            </c:strRef>
          </c:cat>
          <c:val>
            <c:numRef>
              <c:f>exempt_by_category!$D$16:$D$23</c:f>
              <c:numCache>
                <c:formatCode>0.0%</c:formatCode>
                <c:ptCount val="8"/>
                <c:pt idx="0">
                  <c:v>0.63280497785058143</c:v>
                </c:pt>
                <c:pt idx="1">
                  <c:v>8.2745588174387888E-2</c:v>
                </c:pt>
                <c:pt idx="2">
                  <c:v>7.9247737764522916E-2</c:v>
                </c:pt>
                <c:pt idx="3">
                  <c:v>7.4346038185130664E-2</c:v>
                </c:pt>
                <c:pt idx="4">
                  <c:v>6.6572436593811346E-2</c:v>
                </c:pt>
                <c:pt idx="5">
                  <c:v>4.329245245537424E-2</c:v>
                </c:pt>
                <c:pt idx="6">
                  <c:v>1.8947367494129834E-2</c:v>
                </c:pt>
                <c:pt idx="7">
                  <c:v>2.043401482060819E-3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2-0D43-B6F9-B20D9C57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776524137014519"/>
          <c:y val="0.11521276161723308"/>
          <c:w val="0.3853571214990531"/>
          <c:h val="0.82519603443351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459272</xdr:colOff>
      <xdr:row>20</xdr:row>
      <xdr:rowOff>179917</xdr:rowOff>
    </xdr:from>
    <xdr:to>
      <xdr:col>4</xdr:col>
      <xdr:colOff>441747</xdr:colOff>
      <xdr:row>38</xdr:row>
      <xdr:rowOff>116417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E8637-441E-F4E8-B5DF-5E769EA80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2041"/>
        <a:stretch>
          <a:fillRect/>
        </a:stretch>
      </xdr:blipFill>
      <xdr:spPr>
        <a:xfrm>
          <a:off x="459272" y="4434417"/>
          <a:ext cx="5686892" cy="355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693208</xdr:colOff>
      <xdr:row>14</xdr:row>
      <xdr:rowOff>67734</xdr:rowOff>
    </xdr:from>
    <xdr:to>
      <xdr:col>8</xdr:col>
      <xdr:colOff>1005417</xdr:colOff>
      <xdr:row>26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C0D1B-D4E1-3684-84CD-861F310CD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U" id="{7E785D79-915B-AA45-8F10-5002CF94483F}" userId="E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6-02-04T10:10:30.55" personId="{7E785D79-915B-AA45-8F10-5002CF94483F}" id="{77BF3545-A7F2-0D42-A249-75E67D135E78}">
    <text>This exactly matches the average family expenditures as published by the PSA (see figure below). This means that the procedure to estimate the number of HHs and RFACT-adjusted TOTEX is done correctly!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1394-706D-0343-8872-CA70AAC10029}">
  <dimension ref="A1:L46"/>
  <sheetViews>
    <sheetView zoomScale="120" zoomScaleNormal="120" workbookViewId="0">
      <selection activeCell="I32" sqref="I32"/>
    </sheetView>
  </sheetViews>
  <sheetFormatPr baseColWidth="10" defaultRowHeight="16"/>
  <cols>
    <col min="1" max="1" width="17.33203125" style="7" bestFit="1" customWidth="1"/>
    <col min="2" max="2" width="14.33203125" customWidth="1"/>
    <col min="3" max="3" width="22.33203125" customWidth="1"/>
    <col min="4" max="4" width="20.83203125" customWidth="1"/>
    <col min="5" max="5" width="17.6640625" bestFit="1" customWidth="1"/>
    <col min="6" max="6" width="16" bestFit="1" customWidth="1"/>
    <col min="7" max="7" width="16.33203125" bestFit="1" customWidth="1"/>
    <col min="8" max="8" width="20.1640625" bestFit="1" customWidth="1"/>
    <col min="9" max="12" width="11" bestFit="1" customWidth="1"/>
  </cols>
  <sheetData>
    <row r="1" spans="1:12" s="8" customFormat="1" ht="34">
      <c r="A1" s="8" t="s">
        <v>0</v>
      </c>
      <c r="B1" s="8" t="s">
        <v>1</v>
      </c>
      <c r="C1" s="8" t="s">
        <v>2</v>
      </c>
      <c r="D1" s="8" t="s">
        <v>3</v>
      </c>
      <c r="E1" s="8" t="s">
        <v>81</v>
      </c>
      <c r="F1" s="8" t="s">
        <v>5</v>
      </c>
      <c r="G1" s="8" t="s">
        <v>6</v>
      </c>
      <c r="H1" s="8" t="s">
        <v>75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>
      <c r="A2" s="7">
        <v>1</v>
      </c>
      <c r="B2" s="2">
        <v>2747642.50515944</v>
      </c>
      <c r="C2" s="2">
        <v>12730887016.797501</v>
      </c>
      <c r="D2" s="2">
        <v>13799492511.298201</v>
      </c>
      <c r="E2" s="2">
        <v>26530379528.095699</v>
      </c>
      <c r="F2" s="2">
        <v>1527706442.0157001</v>
      </c>
      <c r="G2" s="2">
        <v>1655939101.3557799</v>
      </c>
      <c r="H2" s="2">
        <v>29276373226.599098</v>
      </c>
      <c r="I2" s="1">
        <v>5.7081655079756999</v>
      </c>
      <c r="J2" s="1">
        <v>6.2918344920242903</v>
      </c>
      <c r="K2" s="1">
        <v>5.7583286375449596</v>
      </c>
      <c r="L2" s="1">
        <v>6.2416713624550297</v>
      </c>
    </row>
    <row r="3" spans="1:12">
      <c r="A3" s="7">
        <v>2</v>
      </c>
      <c r="B3" s="2">
        <v>2748295.6540946802</v>
      </c>
      <c r="C3" s="2">
        <v>16171881744.9347</v>
      </c>
      <c r="D3" s="2">
        <v>15540656739.6842</v>
      </c>
      <c r="E3" s="2">
        <v>31712538484.6189</v>
      </c>
      <c r="F3" s="2">
        <v>1940625809.3921599</v>
      </c>
      <c r="G3" s="2">
        <v>1864878808.7621</v>
      </c>
      <c r="H3" s="2">
        <v>35426039310.566101</v>
      </c>
      <c r="I3" s="1">
        <v>6.0303049401519999</v>
      </c>
      <c r="J3" s="1">
        <v>5.9696950598479903</v>
      </c>
      <c r="K3" s="1">
        <v>6.11942752653938</v>
      </c>
      <c r="L3" s="1">
        <v>5.8805724734606102</v>
      </c>
    </row>
    <row r="4" spans="1:12">
      <c r="A4" s="7">
        <v>3</v>
      </c>
      <c r="B4" s="2">
        <v>2747874.69444041</v>
      </c>
      <c r="C4" s="2">
        <v>18492395560.589802</v>
      </c>
      <c r="D4" s="2">
        <v>16596332039.166201</v>
      </c>
      <c r="E4" s="2">
        <v>35088727599.755997</v>
      </c>
      <c r="F4" s="2">
        <v>2219087467.2707801</v>
      </c>
      <c r="G4" s="2">
        <v>1991559844.69994</v>
      </c>
      <c r="H4" s="2">
        <v>39497871055.729301</v>
      </c>
      <c r="I4" s="1">
        <v>6.1898610711613902</v>
      </c>
      <c r="J4" s="1">
        <v>5.8101389288386098</v>
      </c>
      <c r="K4" s="1">
        <v>6.3242175452557801</v>
      </c>
      <c r="L4" s="1">
        <v>5.6757824547442102</v>
      </c>
    </row>
    <row r="5" spans="1:12">
      <c r="A5" s="7">
        <v>4</v>
      </c>
      <c r="B5" s="2">
        <v>2747979.4784429399</v>
      </c>
      <c r="C5" s="2">
        <v>21174220742.446899</v>
      </c>
      <c r="D5" s="2">
        <v>18343675668.4002</v>
      </c>
      <c r="E5" s="2">
        <v>39517896410.847198</v>
      </c>
      <c r="F5" s="2">
        <v>2540906489.0936298</v>
      </c>
      <c r="G5" s="2">
        <v>2201241080.2080202</v>
      </c>
      <c r="H5" s="2">
        <v>44792749154.822098</v>
      </c>
      <c r="I5" s="1">
        <v>6.2902942340410304</v>
      </c>
      <c r="J5" s="1">
        <v>5.7097057659589598</v>
      </c>
      <c r="K5" s="1">
        <v>6.4297615001495503</v>
      </c>
      <c r="L5" s="1">
        <v>5.57023849985044</v>
      </c>
    </row>
    <row r="6" spans="1:12">
      <c r="A6" s="7">
        <v>5</v>
      </c>
      <c r="B6" s="2">
        <v>2747628.8515828899</v>
      </c>
      <c r="C6" s="2">
        <v>23802239836.017101</v>
      </c>
      <c r="D6" s="2">
        <v>19654031599.593601</v>
      </c>
      <c r="E6" s="2">
        <v>43456271435.610802</v>
      </c>
      <c r="F6" s="2">
        <v>2856268780.3220501</v>
      </c>
      <c r="G6" s="2">
        <v>2358483791.9512401</v>
      </c>
      <c r="H6" s="2">
        <v>49501029635.587097</v>
      </c>
      <c r="I6" s="1">
        <v>6.4047799708266</v>
      </c>
      <c r="J6" s="1">
        <v>5.5952200291733902</v>
      </c>
      <c r="K6" s="1">
        <v>6.5727424050960996</v>
      </c>
      <c r="L6" s="1">
        <v>5.4272575949038897</v>
      </c>
    </row>
    <row r="7" spans="1:12">
      <c r="A7" s="7">
        <v>6</v>
      </c>
      <c r="B7" s="2">
        <v>2748336.9317767601</v>
      </c>
      <c r="C7" s="2">
        <v>26514380477.310398</v>
      </c>
      <c r="D7" s="2">
        <v>21273415620.797298</v>
      </c>
      <c r="E7" s="2">
        <v>47787796098.107697</v>
      </c>
      <c r="F7" s="2">
        <v>3181725657.2772498</v>
      </c>
      <c r="G7" s="2">
        <v>2552809874.4956799</v>
      </c>
      <c r="H7" s="2">
        <v>54853430904.834999</v>
      </c>
      <c r="I7" s="1">
        <v>6.4988720176579404</v>
      </c>
      <c r="J7" s="1">
        <v>5.5011279823420498</v>
      </c>
      <c r="K7" s="1">
        <v>6.6580297001878996</v>
      </c>
      <c r="L7" s="1">
        <v>5.3419702998121004</v>
      </c>
    </row>
    <row r="8" spans="1:12">
      <c r="A8" s="7">
        <v>7</v>
      </c>
      <c r="B8" s="2">
        <v>2747846.3569293302</v>
      </c>
      <c r="C8" s="2">
        <v>29745178079.321999</v>
      </c>
      <c r="D8" s="2">
        <v>23156145640.561298</v>
      </c>
      <c r="E8" s="2">
        <v>52901323719.883301</v>
      </c>
      <c r="F8" s="2">
        <v>3569421369.51863</v>
      </c>
      <c r="G8" s="2">
        <v>2778737476.8673501</v>
      </c>
      <c r="H8" s="2">
        <v>60962714759.237099</v>
      </c>
      <c r="I8" s="1">
        <v>6.62365764514223</v>
      </c>
      <c r="J8" s="1">
        <v>5.3763423548577602</v>
      </c>
      <c r="K8" s="1">
        <v>6.7473195726046598</v>
      </c>
      <c r="L8" s="1">
        <v>5.2526804273953296</v>
      </c>
    </row>
    <row r="9" spans="1:12">
      <c r="A9" s="7">
        <v>8</v>
      </c>
      <c r="B9" s="2">
        <v>2747984.4327531499</v>
      </c>
      <c r="C9" s="2">
        <v>33990731017.6814</v>
      </c>
      <c r="D9" s="2">
        <v>25837312021.747002</v>
      </c>
      <c r="E9" s="2">
        <v>59828043039.428398</v>
      </c>
      <c r="F9" s="2">
        <v>4078887722.1217699</v>
      </c>
      <c r="G9" s="2">
        <v>3100477442.6096401</v>
      </c>
      <c r="H9" s="2">
        <v>69592985603.748001</v>
      </c>
      <c r="I9" s="1">
        <v>6.7137976077127703</v>
      </c>
      <c r="J9" s="1">
        <v>5.2862023922872199</v>
      </c>
      <c r="K9" s="1">
        <v>6.8176853443688001</v>
      </c>
      <c r="L9" s="1">
        <v>5.1823146556311901</v>
      </c>
    </row>
    <row r="10" spans="1:12">
      <c r="A10" s="7">
        <v>9</v>
      </c>
      <c r="B10" s="2">
        <v>2748042.5822946099</v>
      </c>
      <c r="C10" s="2">
        <v>40157035542.102303</v>
      </c>
      <c r="D10" s="2">
        <v>29129990531.2584</v>
      </c>
      <c r="E10" s="2">
        <v>69287026073.360703</v>
      </c>
      <c r="F10" s="2">
        <v>4818844265.0522804</v>
      </c>
      <c r="G10" s="2">
        <v>3495598863.7510099</v>
      </c>
      <c r="H10" s="2">
        <v>82061193028.969299</v>
      </c>
      <c r="I10" s="1">
        <v>6.8620584936718902</v>
      </c>
      <c r="J10" s="1">
        <v>5.1379415063281</v>
      </c>
      <c r="K10" s="1">
        <v>6.9549012826010399</v>
      </c>
      <c r="L10" s="1">
        <v>5.0450987173989601</v>
      </c>
    </row>
    <row r="11" spans="1:12">
      <c r="A11" s="7">
        <v>10</v>
      </c>
      <c r="B11" s="2">
        <v>2748063.5193039002</v>
      </c>
      <c r="C11" s="2">
        <v>60239542360.468002</v>
      </c>
      <c r="D11" s="2">
        <v>40132550257.43</v>
      </c>
      <c r="E11" s="2">
        <v>100372092617.89799</v>
      </c>
      <c r="F11" s="2">
        <v>7228745083.2561598</v>
      </c>
      <c r="G11" s="2">
        <v>4815906030.8915997</v>
      </c>
      <c r="H11" s="2">
        <v>124958992792.82401</v>
      </c>
      <c r="I11" s="1">
        <v>7.1193827019703901</v>
      </c>
      <c r="J11" s="1">
        <v>4.8806172980296099</v>
      </c>
      <c r="K11" s="1">
        <v>7.2019471694935504</v>
      </c>
      <c r="L11" s="1">
        <v>4.7980528305064398</v>
      </c>
    </row>
    <row r="12" spans="1:12" s="4" customFormat="1">
      <c r="A12" s="20" t="s">
        <v>76</v>
      </c>
      <c r="B12" s="5">
        <f t="shared" ref="B12:H12" si="0">SUM(B2:B11)</f>
        <v>27479695.00677811</v>
      </c>
      <c r="C12" s="5">
        <f t="shared" si="0"/>
        <v>283018492377.6701</v>
      </c>
      <c r="D12" s="5">
        <f t="shared" si="0"/>
        <v>223463602629.93637</v>
      </c>
      <c r="E12" s="5">
        <f t="shared" si="0"/>
        <v>506482095007.60669</v>
      </c>
      <c r="F12" s="5">
        <f t="shared" si="0"/>
        <v>33962219085.320412</v>
      </c>
      <c r="G12" s="5">
        <f t="shared" si="0"/>
        <v>26815632315.592361</v>
      </c>
      <c r="H12" s="5">
        <f t="shared" si="0"/>
        <v>590923379472.91711</v>
      </c>
    </row>
    <row r="13" spans="1:12" s="4" customFormat="1">
      <c r="A13" s="20" t="s">
        <v>77</v>
      </c>
      <c r="B13" s="21">
        <f>H13/B12</f>
        <v>258048.00788094365</v>
      </c>
      <c r="C13" s="5">
        <f t="shared" ref="C13:H13" si="1">C12*12</f>
        <v>3396221908532.041</v>
      </c>
      <c r="D13" s="5">
        <f t="shared" si="1"/>
        <v>2681563231559.2363</v>
      </c>
      <c r="E13" s="5">
        <f t="shared" si="1"/>
        <v>6077785140091.2803</v>
      </c>
      <c r="F13" s="5">
        <f t="shared" si="1"/>
        <v>407546629023.84497</v>
      </c>
      <c r="G13" s="5">
        <f t="shared" si="1"/>
        <v>321787587787.10834</v>
      </c>
      <c r="H13" s="5">
        <f t="shared" si="1"/>
        <v>7091080553675.0059</v>
      </c>
    </row>
    <row r="14" spans="1:12" s="4" customFormat="1">
      <c r="A14" s="20" t="s">
        <v>78</v>
      </c>
      <c r="C14" s="5">
        <f>C13*0.12</f>
        <v>407546629023.84491</v>
      </c>
      <c r="D14" s="5">
        <f t="shared" ref="D14:H14" si="2">D13*0.12</f>
        <v>321787587787.10834</v>
      </c>
      <c r="E14" s="5">
        <f t="shared" si="2"/>
        <v>729334216810.95361</v>
      </c>
      <c r="F14" s="5"/>
      <c r="G14" s="5"/>
      <c r="H14" s="5">
        <f t="shared" si="2"/>
        <v>850929666441.00073</v>
      </c>
    </row>
    <row r="15" spans="1:12" s="4" customFormat="1">
      <c r="A15" s="20"/>
      <c r="C15" s="9">
        <f>C13/E13</f>
        <v>0.55879269014123689</v>
      </c>
      <c r="D15" s="9">
        <f>D13/E13</f>
        <v>0.44120730985876261</v>
      </c>
      <c r="E15" s="5"/>
      <c r="F15" s="5"/>
      <c r="G15" s="5"/>
      <c r="H15" s="5"/>
    </row>
    <row r="17" spans="1:9">
      <c r="C17" s="11" t="s">
        <v>80</v>
      </c>
      <c r="D17" s="11" t="s">
        <v>82</v>
      </c>
    </row>
    <row r="18" spans="1:9">
      <c r="A18" s="25" t="s">
        <v>79</v>
      </c>
      <c r="C18" s="10">
        <f>C14*$H$19</f>
        <v>1069256497638.428</v>
      </c>
      <c r="D18" s="10">
        <f>D14*$H$19</f>
        <v>844255465748.51062</v>
      </c>
      <c r="F18" s="2"/>
      <c r="G18" s="6">
        <f>H13/H18</f>
        <v>0.38114954636605619</v>
      </c>
      <c r="H18" s="17">
        <v>18604457545030.707</v>
      </c>
      <c r="I18" s="18" t="s">
        <v>93</v>
      </c>
    </row>
    <row r="19" spans="1:9">
      <c r="H19" s="14">
        <f>H18/H13</f>
        <v>2.6236421098599432</v>
      </c>
      <c r="I19" s="15" t="s">
        <v>83</v>
      </c>
    </row>
    <row r="20" spans="1:9">
      <c r="G20" s="6"/>
      <c r="H20" s="13">
        <f>H18*0.12</f>
        <v>2232534905403.6846</v>
      </c>
      <c r="I20" s="19" t="s">
        <v>84</v>
      </c>
    </row>
    <row r="21" spans="1:9">
      <c r="H21" s="16"/>
      <c r="I21" s="16" t="s">
        <v>85</v>
      </c>
    </row>
    <row r="22" spans="1:9">
      <c r="H22" s="6">
        <f>E13/H13</f>
        <v>0.85710282009720262</v>
      </c>
      <c r="I22" t="s">
        <v>91</v>
      </c>
    </row>
    <row r="23" spans="1:9">
      <c r="G23" s="6">
        <f>H23/H13</f>
        <v>0.14289717990279741</v>
      </c>
      <c r="H23" s="3">
        <f>H13-E13</f>
        <v>1013295413583.7256</v>
      </c>
      <c r="I23" s="12" t="s">
        <v>88</v>
      </c>
    </row>
    <row r="24" spans="1:9">
      <c r="G24" s="6">
        <f>H24/H13</f>
        <v>0.12000000000000001</v>
      </c>
      <c r="H24" s="3">
        <f>H13*12%</f>
        <v>850929666441.00073</v>
      </c>
      <c r="I24" s="12" t="s">
        <v>90</v>
      </c>
    </row>
    <row r="25" spans="1:9">
      <c r="G25" s="6"/>
      <c r="I25" t="s">
        <v>94</v>
      </c>
    </row>
    <row r="26" spans="1:9">
      <c r="G26" s="6"/>
      <c r="I26" s="12" t="s">
        <v>95</v>
      </c>
    </row>
    <row r="27" spans="1:9">
      <c r="G27" s="6">
        <f>H27/H13</f>
        <v>2.2897179902797406E-2</v>
      </c>
      <c r="H27" s="24">
        <f>H23-H24</f>
        <v>162365747142.72485</v>
      </c>
      <c r="I27" s="23" t="s">
        <v>89</v>
      </c>
    </row>
    <row r="28" spans="1:9">
      <c r="G28" s="6"/>
      <c r="I28" s="12" t="s">
        <v>96</v>
      </c>
    </row>
    <row r="29" spans="1:9">
      <c r="I29" s="12" t="s">
        <v>97</v>
      </c>
    </row>
    <row r="30" spans="1:9">
      <c r="H30" s="12"/>
      <c r="I30" s="12" t="s">
        <v>98</v>
      </c>
    </row>
    <row r="31" spans="1:9">
      <c r="I31" s="12" t="s">
        <v>99</v>
      </c>
    </row>
    <row r="32" spans="1:9">
      <c r="I32" s="30" t="s">
        <v>100</v>
      </c>
    </row>
    <row r="33" spans="1:9">
      <c r="I33" s="29"/>
    </row>
    <row r="41" spans="1:9">
      <c r="A41" s="22" t="s">
        <v>86</v>
      </c>
    </row>
    <row r="42" spans="1:9">
      <c r="A42" s="22" t="s">
        <v>87</v>
      </c>
    </row>
    <row r="46" spans="1:9">
      <c r="B46" s="12"/>
    </row>
  </sheetData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5A2E-EC98-B848-9690-8DF0D559F542}">
  <dimension ref="A1:M15"/>
  <sheetViews>
    <sheetView topLeftCell="D1" zoomScale="120" zoomScaleNormal="120" workbookViewId="0">
      <selection activeCell="G16" sqref="G16"/>
    </sheetView>
  </sheetViews>
  <sheetFormatPr baseColWidth="10" defaultRowHeight="16"/>
  <cols>
    <col min="1" max="1" width="10.83203125" style="7"/>
    <col min="2" max="2" width="17.5" bestFit="1" customWidth="1"/>
    <col min="3" max="3" width="18.6640625" bestFit="1" customWidth="1"/>
    <col min="4" max="4" width="20.83203125" bestFit="1" customWidth="1"/>
    <col min="5" max="6" width="17.6640625" bestFit="1" customWidth="1"/>
    <col min="7" max="7" width="18.6640625" bestFit="1" customWidth="1"/>
    <col min="8" max="13" width="11" bestFit="1" customWidth="1"/>
  </cols>
  <sheetData>
    <row r="1" spans="1:13" s="8" customFormat="1" ht="34">
      <c r="A1" s="8" t="s">
        <v>0</v>
      </c>
      <c r="B1" s="8" t="s">
        <v>1</v>
      </c>
      <c r="C1" s="8" t="s">
        <v>20</v>
      </c>
      <c r="D1" s="8" t="s">
        <v>75</v>
      </c>
      <c r="E1" s="8" t="s">
        <v>18</v>
      </c>
      <c r="F1" s="8" t="s">
        <v>17</v>
      </c>
      <c r="G1" s="8" t="s">
        <v>4</v>
      </c>
      <c r="H1" s="8" t="s">
        <v>16</v>
      </c>
      <c r="I1" s="8" t="s">
        <v>15</v>
      </c>
      <c r="J1" s="8" t="s">
        <v>14</v>
      </c>
      <c r="K1" s="8" t="s">
        <v>13</v>
      </c>
      <c r="L1" s="8" t="s">
        <v>12</v>
      </c>
      <c r="M1" s="8" t="s">
        <v>11</v>
      </c>
    </row>
    <row r="2" spans="1:13">
      <c r="A2" s="7">
        <v>1</v>
      </c>
      <c r="B2" s="2">
        <v>2747642.50515944</v>
      </c>
      <c r="C2" s="2">
        <v>32807166219.147499</v>
      </c>
      <c r="D2" s="2">
        <v>29276373226.599098</v>
      </c>
      <c r="E2" s="2">
        <v>12730887016.797501</v>
      </c>
      <c r="F2" s="2">
        <v>13799492511.298201</v>
      </c>
      <c r="G2" s="2">
        <v>26530379528.095699</v>
      </c>
      <c r="H2" s="1">
        <v>47.9860719795413</v>
      </c>
      <c r="I2" s="1">
        <v>52.0139280204586</v>
      </c>
      <c r="J2" s="1">
        <v>38.805201679891702</v>
      </c>
      <c r="K2" s="1">
        <v>42.062433613191203</v>
      </c>
      <c r="L2" s="1">
        <v>43.485191687715101</v>
      </c>
      <c r="M2" s="1">
        <v>47.135252732605103</v>
      </c>
    </row>
    <row r="3" spans="1:13">
      <c r="A3" s="7">
        <v>2</v>
      </c>
      <c r="B3" s="2">
        <v>2748295.6540946802</v>
      </c>
      <c r="C3" s="2">
        <v>41822410674.936996</v>
      </c>
      <c r="D3" s="2">
        <v>35426039310.566101</v>
      </c>
      <c r="E3" s="2">
        <v>16171881744.9347</v>
      </c>
      <c r="F3" s="2">
        <v>15540656739.6842</v>
      </c>
      <c r="G3" s="2">
        <v>31712538484.6189</v>
      </c>
      <c r="H3" s="1">
        <v>50.995229387828097</v>
      </c>
      <c r="I3" s="1">
        <v>49.004770612171797</v>
      </c>
      <c r="J3" s="1">
        <v>38.667980835992402</v>
      </c>
      <c r="K3" s="1">
        <v>37.158682364039997</v>
      </c>
      <c r="L3" s="1">
        <v>45.649703042336199</v>
      </c>
      <c r="M3" s="1">
        <v>43.8678922118429</v>
      </c>
    </row>
    <row r="4" spans="1:13">
      <c r="A4" s="7">
        <v>3</v>
      </c>
      <c r="B4" s="2">
        <v>2747874.69444041</v>
      </c>
      <c r="C4" s="2">
        <v>47728594014.963997</v>
      </c>
      <c r="D4" s="2">
        <v>39497871055.729301</v>
      </c>
      <c r="E4" s="2">
        <v>18492395560.589802</v>
      </c>
      <c r="F4" s="2">
        <v>16596332039.166201</v>
      </c>
      <c r="G4" s="2">
        <v>35088727599.755997</v>
      </c>
      <c r="H4" s="1">
        <v>52.701812877131502</v>
      </c>
      <c r="I4" s="1">
        <v>47.298187122868399</v>
      </c>
      <c r="J4" s="1">
        <v>38.744899032207101</v>
      </c>
      <c r="K4" s="1">
        <v>34.772304488925201</v>
      </c>
      <c r="L4" s="1">
        <v>46.8187146960353</v>
      </c>
      <c r="M4" s="1">
        <v>42.018295152540503</v>
      </c>
    </row>
    <row r="5" spans="1:13">
      <c r="A5" s="7">
        <v>4</v>
      </c>
      <c r="B5" s="2">
        <v>2747979.4784429399</v>
      </c>
      <c r="C5" s="2">
        <v>55228987672.520798</v>
      </c>
      <c r="D5" s="2">
        <v>44792749154.822098</v>
      </c>
      <c r="E5" s="2">
        <v>21174220742.446899</v>
      </c>
      <c r="F5" s="2">
        <v>18343675668.4002</v>
      </c>
      <c r="G5" s="2">
        <v>39517896410.847198</v>
      </c>
      <c r="H5" s="1">
        <v>53.581345834579601</v>
      </c>
      <c r="I5" s="1">
        <v>46.4186541654203</v>
      </c>
      <c r="J5" s="1">
        <v>38.338962263800802</v>
      </c>
      <c r="K5" s="1">
        <v>33.213854610496703</v>
      </c>
      <c r="L5" s="1">
        <v>47.271536447249801</v>
      </c>
      <c r="M5" s="1">
        <v>40.952332720184103</v>
      </c>
    </row>
    <row r="6" spans="1:13">
      <c r="A6" s="7">
        <v>5</v>
      </c>
      <c r="B6" s="2">
        <v>2747628.8515828899</v>
      </c>
      <c r="C6" s="2">
        <v>62300009849.796898</v>
      </c>
      <c r="D6" s="2">
        <v>49501029635.587097</v>
      </c>
      <c r="E6" s="2">
        <v>23802239836.017101</v>
      </c>
      <c r="F6" s="2">
        <v>19654031599.593601</v>
      </c>
      <c r="G6" s="2">
        <v>43456271435.610802</v>
      </c>
      <c r="H6" s="1">
        <v>54.7728533758008</v>
      </c>
      <c r="I6" s="1">
        <v>45.227146624199101</v>
      </c>
      <c r="J6" s="1">
        <v>38.205836392969204</v>
      </c>
      <c r="K6" s="1">
        <v>31.547397258810701</v>
      </c>
      <c r="L6" s="1">
        <v>48.084332813362899</v>
      </c>
      <c r="M6" s="1">
        <v>39.704288464868696</v>
      </c>
    </row>
    <row r="7" spans="1:13">
      <c r="A7" s="7">
        <v>6</v>
      </c>
      <c r="B7" s="2">
        <v>2748336.9317767601</v>
      </c>
      <c r="C7" s="2">
        <v>70697712578.309692</v>
      </c>
      <c r="D7" s="2">
        <v>54853430904.834999</v>
      </c>
      <c r="E7" s="2">
        <v>26514380477.310398</v>
      </c>
      <c r="F7" s="2">
        <v>21273415620.797298</v>
      </c>
      <c r="G7" s="2">
        <v>47787796098.107697</v>
      </c>
      <c r="H7" s="1">
        <v>55.4835808348992</v>
      </c>
      <c r="I7" s="1">
        <v>44.5164191651008</v>
      </c>
      <c r="J7" s="1">
        <v>37.503873195248303</v>
      </c>
      <c r="K7" s="1">
        <v>30.090670327181201</v>
      </c>
      <c r="L7" s="1">
        <v>48.336776824972098</v>
      </c>
      <c r="M7" s="1">
        <v>38.782288126524797</v>
      </c>
    </row>
    <row r="8" spans="1:13">
      <c r="A8" s="7">
        <v>7</v>
      </c>
      <c r="B8" s="2">
        <v>2747846.3569293302</v>
      </c>
      <c r="C8" s="2">
        <v>80541995781.497406</v>
      </c>
      <c r="D8" s="2">
        <v>60962714759.237099</v>
      </c>
      <c r="E8" s="2">
        <v>29745178079.321999</v>
      </c>
      <c r="F8" s="2">
        <v>23156145640.561298</v>
      </c>
      <c r="G8" s="2">
        <v>52901323719.883301</v>
      </c>
      <c r="H8" s="1">
        <v>56.2276631050388</v>
      </c>
      <c r="I8" s="1">
        <v>43.7723368949611</v>
      </c>
      <c r="J8" s="1">
        <v>36.931265224688197</v>
      </c>
      <c r="K8" s="1">
        <v>28.750399609393401</v>
      </c>
      <c r="L8" s="1">
        <v>48.792410568978099</v>
      </c>
      <c r="M8" s="1">
        <v>37.984111652528803</v>
      </c>
    </row>
    <row r="9" spans="1:13">
      <c r="A9" s="7">
        <v>8</v>
      </c>
      <c r="B9" s="2">
        <v>2747984.4327531499</v>
      </c>
      <c r="C9" s="2">
        <v>95316514865.332199</v>
      </c>
      <c r="D9" s="2">
        <v>69592985603.748001</v>
      </c>
      <c r="E9" s="2">
        <v>33990731017.6814</v>
      </c>
      <c r="F9" s="2">
        <v>25837312021.747002</v>
      </c>
      <c r="G9" s="2">
        <v>59828043039.428398</v>
      </c>
      <c r="H9" s="1">
        <v>56.814044536406598</v>
      </c>
      <c r="I9" s="1">
        <v>43.185955463593302</v>
      </c>
      <c r="J9" s="1">
        <v>35.6609041630457</v>
      </c>
      <c r="K9" s="1">
        <v>27.106857671255799</v>
      </c>
      <c r="L9" s="1">
        <v>48.842179600138799</v>
      </c>
      <c r="M9" s="1">
        <v>37.126316391799499</v>
      </c>
    </row>
    <row r="10" spans="1:13">
      <c r="A10" s="7">
        <v>9</v>
      </c>
      <c r="B10" s="2">
        <v>2748042.5822946099</v>
      </c>
      <c r="C10" s="2">
        <v>117372854152.933</v>
      </c>
      <c r="D10" s="2">
        <v>82061193028.969299</v>
      </c>
      <c r="E10" s="2">
        <v>40157035542.102303</v>
      </c>
      <c r="F10" s="2">
        <v>29129990531.2584</v>
      </c>
      <c r="G10" s="2">
        <v>69287026073.360703</v>
      </c>
      <c r="H10" s="1">
        <v>57.957510688341998</v>
      </c>
      <c r="I10" s="1">
        <v>42.042489311658002</v>
      </c>
      <c r="J10" s="1">
        <v>34.213222326330097</v>
      </c>
      <c r="K10" s="1">
        <v>24.818337034986602</v>
      </c>
      <c r="L10" s="1">
        <v>48.935476148788197</v>
      </c>
      <c r="M10" s="1">
        <v>35.497888168619298</v>
      </c>
    </row>
    <row r="11" spans="1:13">
      <c r="A11" s="7">
        <v>10</v>
      </c>
      <c r="B11" s="2">
        <v>2748063.5193039002</v>
      </c>
      <c r="C11" s="2">
        <v>205068163103.01001</v>
      </c>
      <c r="D11" s="2">
        <v>124958992792.82401</v>
      </c>
      <c r="E11" s="2">
        <v>60239542360.468002</v>
      </c>
      <c r="F11" s="2">
        <v>40132550257.43</v>
      </c>
      <c r="G11" s="2">
        <v>100372092617.89799</v>
      </c>
      <c r="H11" s="1">
        <v>60.016226412446201</v>
      </c>
      <c r="I11" s="1">
        <v>39.9837735875536</v>
      </c>
      <c r="J11" s="1">
        <v>29.3753752161949</v>
      </c>
      <c r="K11" s="1">
        <v>19.5703465863057</v>
      </c>
      <c r="L11" s="1">
        <v>48.207448711067798</v>
      </c>
      <c r="M11" s="1">
        <v>32.116576294726997</v>
      </c>
    </row>
    <row r="12" spans="1:13" s="4" customFormat="1">
      <c r="A12" s="20" t="s">
        <v>74</v>
      </c>
      <c r="B12" s="5">
        <f t="shared" ref="B12:G12" si="0">SUM(B2:B11)</f>
        <v>27479695.00677811</v>
      </c>
      <c r="C12" s="5">
        <f t="shared" si="0"/>
        <v>808884408912.44861</v>
      </c>
      <c r="D12" s="5">
        <f t="shared" si="0"/>
        <v>590923379472.91711</v>
      </c>
      <c r="E12" s="5">
        <f t="shared" si="0"/>
        <v>283018492377.6701</v>
      </c>
      <c r="F12" s="5">
        <f t="shared" si="0"/>
        <v>223463602629.93637</v>
      </c>
      <c r="G12" s="5">
        <f t="shared" si="0"/>
        <v>506482095007.60669</v>
      </c>
      <c r="H12" s="26">
        <f>(E12/G12)*100</f>
        <v>55.8792690141237</v>
      </c>
      <c r="I12" s="26">
        <f>(F12/G12)*100</f>
        <v>44.120730985876264</v>
      </c>
      <c r="J12" s="26">
        <f>(E12/C12)*100</f>
        <v>34.988743664646805</v>
      </c>
      <c r="K12" s="26">
        <f>(F12/C12)*100</f>
        <v>27.626147836176607</v>
      </c>
      <c r="L12" s="26">
        <f>(E12/D12)*100</f>
        <v>47.894279056975655</v>
      </c>
      <c r="M12" s="26">
        <f>(F12/D12)*100</f>
        <v>37.816002952744576</v>
      </c>
    </row>
    <row r="14" spans="1:13" ht="19">
      <c r="H14" s="27" t="s">
        <v>92</v>
      </c>
    </row>
    <row r="15" spans="1:13">
      <c r="H15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5A1A-41B0-1E41-913C-6E5BC0F82ED3}">
  <dimension ref="A1:AE49"/>
  <sheetViews>
    <sheetView tabSelected="1" topLeftCell="H1" zoomScale="120" zoomScaleNormal="120" workbookViewId="0">
      <selection activeCell="D13" sqref="D13"/>
    </sheetView>
  </sheetViews>
  <sheetFormatPr baseColWidth="10" defaultRowHeight="16"/>
  <cols>
    <col min="1" max="1" width="27.83203125" style="7" customWidth="1"/>
    <col min="2" max="2" width="16" bestFit="1" customWidth="1"/>
    <col min="3" max="3" width="17.6640625" bestFit="1" customWidth="1"/>
    <col min="4" max="5" width="16" bestFit="1" customWidth="1"/>
    <col min="6" max="6" width="15.83203125" customWidth="1"/>
    <col min="7" max="8" width="16.6640625" bestFit="1" customWidth="1"/>
    <col min="9" max="9" width="17.6640625" bestFit="1" customWidth="1"/>
    <col min="10" max="10" width="16" bestFit="1" customWidth="1"/>
    <col min="11" max="11" width="15" bestFit="1" customWidth="1"/>
    <col min="12" max="12" width="16" bestFit="1" customWidth="1"/>
    <col min="13" max="13" width="16.6640625" bestFit="1" customWidth="1"/>
    <col min="14" max="14" width="16.33203125" bestFit="1" customWidth="1"/>
    <col min="15" max="16" width="16.6640625" bestFit="1" customWidth="1"/>
    <col min="17" max="17" width="17.6640625" bestFit="1" customWidth="1"/>
    <col min="18" max="31" width="11" bestFit="1" customWidth="1"/>
  </cols>
  <sheetData>
    <row r="1" spans="1:31" s="8" customFormat="1" ht="51">
      <c r="A1" s="8" t="s">
        <v>0</v>
      </c>
      <c r="B1" s="8" t="s">
        <v>1</v>
      </c>
      <c r="C1" s="8" t="s">
        <v>50</v>
      </c>
      <c r="D1" s="8" t="s">
        <v>49</v>
      </c>
      <c r="E1" s="8" t="s">
        <v>48</v>
      </c>
      <c r="F1" s="8" t="s">
        <v>47</v>
      </c>
      <c r="G1" s="8" t="s">
        <v>46</v>
      </c>
      <c r="H1" s="8" t="s">
        <v>45</v>
      </c>
      <c r="I1" s="8" t="s">
        <v>44</v>
      </c>
      <c r="J1" s="8" t="s">
        <v>43</v>
      </c>
      <c r="K1" s="8" t="s">
        <v>42</v>
      </c>
      <c r="L1" s="8" t="s">
        <v>41</v>
      </c>
      <c r="M1" s="8" t="s">
        <v>40</v>
      </c>
      <c r="N1" s="8" t="s">
        <v>39</v>
      </c>
      <c r="O1" s="8" t="s">
        <v>38</v>
      </c>
      <c r="P1" s="8" t="s">
        <v>37</v>
      </c>
      <c r="Q1" s="8" t="s">
        <v>4</v>
      </c>
      <c r="R1" s="8" t="s">
        <v>36</v>
      </c>
      <c r="S1" s="8" t="s">
        <v>35</v>
      </c>
      <c r="T1" s="8" t="s">
        <v>34</v>
      </c>
      <c r="U1" s="8" t="s">
        <v>33</v>
      </c>
      <c r="V1" s="8" t="s">
        <v>32</v>
      </c>
      <c r="W1" s="8" t="s">
        <v>31</v>
      </c>
      <c r="X1" s="8" t="s">
        <v>30</v>
      </c>
      <c r="Y1" s="8" t="s">
        <v>29</v>
      </c>
      <c r="Z1" s="8" t="s">
        <v>28</v>
      </c>
      <c r="AA1" s="8" t="s">
        <v>27</v>
      </c>
      <c r="AB1" s="8" t="s">
        <v>26</v>
      </c>
      <c r="AC1" s="8" t="s">
        <v>25</v>
      </c>
      <c r="AD1" s="8" t="s">
        <v>24</v>
      </c>
      <c r="AE1" s="8" t="s">
        <v>23</v>
      </c>
    </row>
    <row r="2" spans="1:31">
      <c r="A2" s="7">
        <v>1</v>
      </c>
      <c r="B2" s="2">
        <v>2747642.50515944</v>
      </c>
      <c r="C2" s="2">
        <v>15990838401.663799</v>
      </c>
      <c r="D2" s="2">
        <v>532822247.77749002</v>
      </c>
      <c r="E2" s="2">
        <v>564853994.856848</v>
      </c>
      <c r="F2" s="2">
        <v>2363671157.2529802</v>
      </c>
      <c r="G2" s="2">
        <v>730437484.37439799</v>
      </c>
      <c r="H2" s="2">
        <v>408542791.85708499</v>
      </c>
      <c r="I2" s="2">
        <v>1647689285.14065</v>
      </c>
      <c r="J2" s="2">
        <v>570623163.44423401</v>
      </c>
      <c r="K2" s="2">
        <v>234558957.221908</v>
      </c>
      <c r="L2" s="2">
        <v>778563951.59147406</v>
      </c>
      <c r="M2" s="2">
        <v>874077739.09213305</v>
      </c>
      <c r="N2" s="2">
        <v>118238780.85100999</v>
      </c>
      <c r="O2" s="2">
        <v>1275190823.7764201</v>
      </c>
      <c r="P2" s="2">
        <v>440270749.19526398</v>
      </c>
      <c r="Q2" s="2">
        <v>26530379528.095798</v>
      </c>
      <c r="R2" s="2">
        <v>60.273688828045202</v>
      </c>
      <c r="S2" s="2">
        <v>2.0083476273425598</v>
      </c>
      <c r="T2" s="2">
        <v>2.1290837330791499</v>
      </c>
      <c r="U2" s="2">
        <v>8.9093002033757003</v>
      </c>
      <c r="V2" s="2">
        <v>2.7532115912660098</v>
      </c>
      <c r="W2" s="2">
        <v>1.5399055691021499</v>
      </c>
      <c r="X2" s="2">
        <v>6.2105756285760796</v>
      </c>
      <c r="Y2" s="2">
        <v>2.1508292515753098</v>
      </c>
      <c r="Z2" s="2">
        <v>0.88411459388852598</v>
      </c>
      <c r="AA2" s="2">
        <v>2.9346129435011301</v>
      </c>
      <c r="AB2" s="2">
        <v>3.2946296081685502</v>
      </c>
      <c r="AC2" s="2">
        <v>0.445673160181499</v>
      </c>
      <c r="AD2" s="2">
        <v>4.8065306507432002</v>
      </c>
      <c r="AE2" s="2">
        <v>1.6594966111548199</v>
      </c>
    </row>
    <row r="3" spans="1:31">
      <c r="A3" s="7">
        <v>2</v>
      </c>
      <c r="B3" s="2">
        <v>2748295.6540946802</v>
      </c>
      <c r="C3" s="2">
        <v>17716769683.024899</v>
      </c>
      <c r="D3" s="2">
        <v>679454265.27848995</v>
      </c>
      <c r="E3" s="2">
        <v>654181871.97005904</v>
      </c>
      <c r="F3" s="2">
        <v>3153423828.3287702</v>
      </c>
      <c r="G3" s="2">
        <v>881410870.81025696</v>
      </c>
      <c r="H3" s="2">
        <v>588463889.93382394</v>
      </c>
      <c r="I3" s="2">
        <v>2209567133.0144501</v>
      </c>
      <c r="J3" s="2">
        <v>881329606.77100205</v>
      </c>
      <c r="K3" s="2">
        <v>261434219.26473999</v>
      </c>
      <c r="L3" s="2">
        <v>988601374.00612104</v>
      </c>
      <c r="M3" s="2">
        <v>1383777550.8020301</v>
      </c>
      <c r="N3" s="2">
        <v>261001773.656665</v>
      </c>
      <c r="O3" s="2">
        <v>1481422342.8584399</v>
      </c>
      <c r="P3" s="2">
        <v>571700074.899122</v>
      </c>
      <c r="Q3" s="2">
        <v>31712538484.6189</v>
      </c>
      <c r="R3" s="2">
        <v>55.866766047813698</v>
      </c>
      <c r="S3" s="2">
        <v>2.1425413976494898</v>
      </c>
      <c r="T3" s="2">
        <v>2.06284928053724</v>
      </c>
      <c r="U3" s="2">
        <v>9.9437761182638393</v>
      </c>
      <c r="V3" s="2">
        <v>2.7793765902333898</v>
      </c>
      <c r="W3" s="2">
        <v>1.8556190013588401</v>
      </c>
      <c r="X3" s="2">
        <v>6.9674874311500696</v>
      </c>
      <c r="Y3" s="2">
        <v>2.7791203381541298</v>
      </c>
      <c r="Z3" s="2">
        <v>0.82438755065772895</v>
      </c>
      <c r="AA3" s="2">
        <v>3.1173832851179801</v>
      </c>
      <c r="AB3" s="2">
        <v>4.3635029452882899</v>
      </c>
      <c r="AC3" s="2">
        <v>0.82302390829814798</v>
      </c>
      <c r="AD3" s="2">
        <v>4.6714088926591497</v>
      </c>
      <c r="AE3" s="2">
        <v>1.8027572128178999</v>
      </c>
    </row>
    <row r="4" spans="1:31">
      <c r="A4" s="7">
        <v>3</v>
      </c>
      <c r="B4" s="2">
        <v>2747874.69444041</v>
      </c>
      <c r="C4" s="2">
        <v>18475048280.205399</v>
      </c>
      <c r="D4" s="2">
        <v>723181191.12306404</v>
      </c>
      <c r="E4" s="2">
        <v>696214900.67047298</v>
      </c>
      <c r="F4" s="2">
        <v>3882408437.6120601</v>
      </c>
      <c r="G4" s="2">
        <v>974659334.59175599</v>
      </c>
      <c r="H4" s="2">
        <v>703343414.58053601</v>
      </c>
      <c r="I4" s="2">
        <v>2648397049.2077498</v>
      </c>
      <c r="J4" s="2">
        <v>1136884432.5229299</v>
      </c>
      <c r="K4" s="2">
        <v>264581837.98253599</v>
      </c>
      <c r="L4" s="2">
        <v>1068174669.81612</v>
      </c>
      <c r="M4" s="2">
        <v>1842159837.16152</v>
      </c>
      <c r="N4" s="2">
        <v>388142803.27591199</v>
      </c>
      <c r="O4" s="2">
        <v>1602883322.36692</v>
      </c>
      <c r="P4" s="2">
        <v>682648088.63905203</v>
      </c>
      <c r="Q4" s="2">
        <v>35088727599.756104</v>
      </c>
      <c r="R4" s="2">
        <v>52.652374548725</v>
      </c>
      <c r="S4" s="2">
        <v>2.0610071683764599</v>
      </c>
      <c r="T4" s="2">
        <v>1.9841554490431601</v>
      </c>
      <c r="U4" s="2">
        <v>11.064546089836099</v>
      </c>
      <c r="V4" s="2">
        <v>2.7776992819726201</v>
      </c>
      <c r="W4" s="2">
        <v>2.0044711298833899</v>
      </c>
      <c r="X4" s="2">
        <v>7.5477146946364604</v>
      </c>
      <c r="Y4" s="2">
        <v>3.2400275253378901</v>
      </c>
      <c r="Z4" s="2">
        <v>0.75403656980817901</v>
      </c>
      <c r="AA4" s="2">
        <v>3.0442103287425701</v>
      </c>
      <c r="AB4" s="2">
        <v>5.2500046686626796</v>
      </c>
      <c r="AC4" s="2">
        <v>1.1061752016297399</v>
      </c>
      <c r="AD4" s="2">
        <v>4.5680861975116702</v>
      </c>
      <c r="AE4" s="2">
        <v>1.9454911458339601</v>
      </c>
    </row>
    <row r="5" spans="1:31">
      <c r="A5" s="7">
        <v>4</v>
      </c>
      <c r="B5" s="2">
        <v>2747979.4784429399</v>
      </c>
      <c r="C5" s="2">
        <v>19578006372.944302</v>
      </c>
      <c r="D5" s="2">
        <v>829365937.75525296</v>
      </c>
      <c r="E5" s="2">
        <v>770862790.78202701</v>
      </c>
      <c r="F5" s="2">
        <v>4691240386.4801998</v>
      </c>
      <c r="G5" s="2">
        <v>1113292305.38515</v>
      </c>
      <c r="H5" s="2">
        <v>933054622.611678</v>
      </c>
      <c r="I5" s="2">
        <v>3056504343.7639899</v>
      </c>
      <c r="J5" s="2">
        <v>1517334535.48276</v>
      </c>
      <c r="K5" s="2">
        <v>292882708.84662002</v>
      </c>
      <c r="L5" s="2">
        <v>1248776335.51882</v>
      </c>
      <c r="M5" s="2">
        <v>2308756955.5985999</v>
      </c>
      <c r="N5" s="2">
        <v>607037385.94030905</v>
      </c>
      <c r="O5" s="2">
        <v>1785484458.45786</v>
      </c>
      <c r="P5" s="2">
        <v>785297271.27958596</v>
      </c>
      <c r="Q5" s="2">
        <v>39517896410.847198</v>
      </c>
      <c r="R5" s="2">
        <v>49.542126861718202</v>
      </c>
      <c r="S5" s="2">
        <v>2.0987097317447301</v>
      </c>
      <c r="T5" s="2">
        <v>1.95066757290864</v>
      </c>
      <c r="U5" s="2">
        <v>11.871179421363401</v>
      </c>
      <c r="V5" s="2">
        <v>2.8171851401472101</v>
      </c>
      <c r="W5" s="2">
        <v>2.3610938520390601</v>
      </c>
      <c r="X5" s="2">
        <v>7.7344813903733396</v>
      </c>
      <c r="Y5" s="2">
        <v>3.8396136264638598</v>
      </c>
      <c r="Z5" s="2">
        <v>0.74113942149569301</v>
      </c>
      <c r="AA5" s="2">
        <v>3.1600273520025999</v>
      </c>
      <c r="AB5" s="2">
        <v>5.8423073222209299</v>
      </c>
      <c r="AC5" s="2">
        <v>1.5361075387952201</v>
      </c>
      <c r="AD5" s="2">
        <v>4.5181667563857699</v>
      </c>
      <c r="AE5" s="2">
        <v>1.9871940123412799</v>
      </c>
    </row>
    <row r="6" spans="1:31">
      <c r="A6" s="7">
        <v>5</v>
      </c>
      <c r="B6" s="2">
        <v>2747628.8515828899</v>
      </c>
      <c r="C6" s="2">
        <v>20466134261.536098</v>
      </c>
      <c r="D6" s="2">
        <v>892867580.11971104</v>
      </c>
      <c r="E6" s="2">
        <v>839266737.99279499</v>
      </c>
      <c r="F6" s="2">
        <v>5463892030.0346498</v>
      </c>
      <c r="G6" s="2">
        <v>1238236380.6538501</v>
      </c>
      <c r="H6" s="2">
        <v>1154659765.21594</v>
      </c>
      <c r="I6" s="2">
        <v>3427165351.26724</v>
      </c>
      <c r="J6" s="2">
        <v>1841722620.6008601</v>
      </c>
      <c r="K6" s="2">
        <v>309018805.18247998</v>
      </c>
      <c r="L6" s="2">
        <v>1344649789.3245201</v>
      </c>
      <c r="M6" s="2">
        <v>2854817394.7291899</v>
      </c>
      <c r="N6" s="2">
        <v>799621768.24454403</v>
      </c>
      <c r="O6" s="2">
        <v>1924382296.1743701</v>
      </c>
      <c r="P6" s="2">
        <v>899836654.53443599</v>
      </c>
      <c r="Q6" s="2">
        <v>43456271435.610802</v>
      </c>
      <c r="R6" s="2">
        <v>47.095927895840902</v>
      </c>
      <c r="S6" s="2">
        <v>2.0546345800574999</v>
      </c>
      <c r="T6" s="2">
        <v>1.9312902609151299</v>
      </c>
      <c r="U6" s="2">
        <v>12.5733107087443</v>
      </c>
      <c r="V6" s="2">
        <v>2.8493847717435998</v>
      </c>
      <c r="W6" s="2">
        <v>2.6570612872915298</v>
      </c>
      <c r="X6" s="2">
        <v>7.8864689446384704</v>
      </c>
      <c r="Y6" s="2">
        <v>4.2381054788138997</v>
      </c>
      <c r="Z6" s="2">
        <v>0.711102897174124</v>
      </c>
      <c r="AA6" s="2">
        <v>3.0942594587685499</v>
      </c>
      <c r="AB6" s="2">
        <v>6.56940252906689</v>
      </c>
      <c r="AC6" s="2">
        <v>1.84006069050204</v>
      </c>
      <c r="AD6" s="2">
        <v>4.4283189344160299</v>
      </c>
      <c r="AE6" s="2">
        <v>2.0706715620269498</v>
      </c>
    </row>
    <row r="7" spans="1:31">
      <c r="A7" s="7">
        <v>6</v>
      </c>
      <c r="B7" s="2">
        <v>2748336.9317767601</v>
      </c>
      <c r="C7" s="2">
        <v>21288671532.338501</v>
      </c>
      <c r="D7" s="2">
        <v>952376828.95229197</v>
      </c>
      <c r="E7" s="2">
        <v>954257755.01019704</v>
      </c>
      <c r="F7" s="2">
        <v>6202041652.9677296</v>
      </c>
      <c r="G7" s="2">
        <v>1416127970.1519301</v>
      </c>
      <c r="H7" s="2">
        <v>1364728389.6819501</v>
      </c>
      <c r="I7" s="2">
        <v>3896540174.16153</v>
      </c>
      <c r="J7" s="2">
        <v>2239749522.5671401</v>
      </c>
      <c r="K7" s="2">
        <v>358339276.30989099</v>
      </c>
      <c r="L7" s="2">
        <v>1598980743.74229</v>
      </c>
      <c r="M7" s="2">
        <v>3289534267.8063202</v>
      </c>
      <c r="N7" s="2">
        <v>1124120003.5225101</v>
      </c>
      <c r="O7" s="2">
        <v>2082554866.2391</v>
      </c>
      <c r="P7" s="2">
        <v>1019773114.65628</v>
      </c>
      <c r="Q7" s="2">
        <v>47787796098.107697</v>
      </c>
      <c r="R7" s="2">
        <v>44.548343448677102</v>
      </c>
      <c r="S7" s="2">
        <v>1.9929289624427799</v>
      </c>
      <c r="T7" s="2">
        <v>1.9968649591019301</v>
      </c>
      <c r="U7" s="2">
        <v>12.9782960491314</v>
      </c>
      <c r="V7" s="2">
        <v>2.9633673987489102</v>
      </c>
      <c r="W7" s="2">
        <v>2.8558094348611101</v>
      </c>
      <c r="X7" s="2">
        <v>8.1538394575928592</v>
      </c>
      <c r="Y7" s="2">
        <v>4.6868650689999596</v>
      </c>
      <c r="Z7" s="2">
        <v>0.74985520481887302</v>
      </c>
      <c r="AA7" s="2">
        <v>3.34600227317368</v>
      </c>
      <c r="AB7" s="2">
        <v>6.8836283243800303</v>
      </c>
      <c r="AC7" s="2">
        <v>2.3523160624832</v>
      </c>
      <c r="AD7" s="2">
        <v>4.3579219723036502</v>
      </c>
      <c r="AE7" s="2">
        <v>2.1339613832843498</v>
      </c>
    </row>
    <row r="8" spans="1:31">
      <c r="A8" s="7">
        <v>7</v>
      </c>
      <c r="B8" s="2">
        <v>2747846.3569293302</v>
      </c>
      <c r="C8" s="2">
        <v>22061555504.912998</v>
      </c>
      <c r="D8" s="2">
        <v>955642604.01410604</v>
      </c>
      <c r="E8" s="2">
        <v>1084593772.8963301</v>
      </c>
      <c r="F8" s="2">
        <v>7170857001.39888</v>
      </c>
      <c r="G8" s="2">
        <v>1576895228.88552</v>
      </c>
      <c r="H8" s="2">
        <v>1723416462.28618</v>
      </c>
      <c r="I8" s="2">
        <v>4459609552.2406502</v>
      </c>
      <c r="J8" s="2">
        <v>2704844016.0393701</v>
      </c>
      <c r="K8" s="2">
        <v>404942361.482301</v>
      </c>
      <c r="L8" s="2">
        <v>1802389365.0468299</v>
      </c>
      <c r="M8" s="2">
        <v>3991236985.9844298</v>
      </c>
      <c r="N8" s="2">
        <v>1518015823.19626</v>
      </c>
      <c r="O8" s="2">
        <v>2283985215.8801999</v>
      </c>
      <c r="P8" s="2">
        <v>1163339825.6192</v>
      </c>
      <c r="Q8" s="2">
        <v>52901323719.883301</v>
      </c>
      <c r="R8" s="2">
        <v>41.703220172203402</v>
      </c>
      <c r="S8" s="2">
        <v>1.8064625548394699</v>
      </c>
      <c r="T8" s="2">
        <v>2.0502204796223</v>
      </c>
      <c r="U8" s="2">
        <v>13.55515608526</v>
      </c>
      <c r="V8" s="2">
        <v>2.9808237639483401</v>
      </c>
      <c r="W8" s="2">
        <v>3.25779459019174</v>
      </c>
      <c r="X8" s="2">
        <v>8.4300528581376106</v>
      </c>
      <c r="Y8" s="2">
        <v>5.1129987415092604</v>
      </c>
      <c r="Z8" s="2">
        <v>0.76546735130202603</v>
      </c>
      <c r="AA8" s="2">
        <v>3.40707800544013</v>
      </c>
      <c r="AB8" s="2">
        <v>7.5446826380344403</v>
      </c>
      <c r="AC8" s="2">
        <v>2.86952332466059</v>
      </c>
      <c r="AD8" s="2">
        <v>4.3174443572982799</v>
      </c>
      <c r="AE8" s="2">
        <v>2.1990750775522701</v>
      </c>
    </row>
    <row r="9" spans="1:31">
      <c r="A9" s="7">
        <v>8</v>
      </c>
      <c r="B9" s="2">
        <v>2747984.4327531499</v>
      </c>
      <c r="C9" s="2">
        <v>23144044156.0439</v>
      </c>
      <c r="D9" s="2">
        <v>987873604.83120298</v>
      </c>
      <c r="E9" s="2">
        <v>1304178565.0866201</v>
      </c>
      <c r="F9" s="2">
        <v>8209747833.4107704</v>
      </c>
      <c r="G9" s="2">
        <v>1920950368.44997</v>
      </c>
      <c r="H9" s="2">
        <v>2283824261.0636702</v>
      </c>
      <c r="I9" s="2">
        <v>5304285285.1653099</v>
      </c>
      <c r="J9" s="2">
        <v>3291017537.119</v>
      </c>
      <c r="K9" s="2">
        <v>524495019.25161099</v>
      </c>
      <c r="L9" s="2">
        <v>2390241066.2751498</v>
      </c>
      <c r="M9" s="2">
        <v>4459481035.3073797</v>
      </c>
      <c r="N9" s="2">
        <v>2107405267.0736499</v>
      </c>
      <c r="O9" s="2">
        <v>2527592419.6882601</v>
      </c>
      <c r="P9" s="2">
        <v>1372906620.66185</v>
      </c>
      <c r="Q9" s="2">
        <v>59828043039.428398</v>
      </c>
      <c r="R9" s="2">
        <v>38.684274096666201</v>
      </c>
      <c r="S9" s="2">
        <v>1.6511882298743501</v>
      </c>
      <c r="T9" s="2">
        <v>2.1798783627723402</v>
      </c>
      <c r="U9" s="2">
        <v>13.7222403012585</v>
      </c>
      <c r="V9" s="2">
        <v>3.2107858971486198</v>
      </c>
      <c r="W9" s="2">
        <v>3.8173139969805798</v>
      </c>
      <c r="X9" s="2">
        <v>8.8658846515665299</v>
      </c>
      <c r="Y9" s="2">
        <v>5.5007942261292504</v>
      </c>
      <c r="Z9" s="2">
        <v>0.87667085969359504</v>
      </c>
      <c r="AA9" s="2">
        <v>3.9951851085951602</v>
      </c>
      <c r="AB9" s="2">
        <v>7.4538306933563803</v>
      </c>
      <c r="AC9" s="2">
        <v>3.5224372384782998</v>
      </c>
      <c r="AD9" s="2">
        <v>4.2247619866531601</v>
      </c>
      <c r="AE9" s="2">
        <v>2.29475435082687</v>
      </c>
    </row>
    <row r="10" spans="1:31">
      <c r="A10" s="7">
        <v>9</v>
      </c>
      <c r="B10" s="2">
        <v>2748042.5822946099</v>
      </c>
      <c r="C10" s="2">
        <v>23895637572.135101</v>
      </c>
      <c r="D10" s="2">
        <v>904561552.32073104</v>
      </c>
      <c r="E10" s="2">
        <v>1651759197.7995801</v>
      </c>
      <c r="F10" s="2">
        <v>9946350230.1693096</v>
      </c>
      <c r="G10" s="2">
        <v>2533328518.5107498</v>
      </c>
      <c r="H10" s="2">
        <v>2931918886.9404502</v>
      </c>
      <c r="I10" s="2">
        <v>6580995077.4231396</v>
      </c>
      <c r="J10" s="2">
        <v>4077347721.0027099</v>
      </c>
      <c r="K10" s="2">
        <v>708425955.34514701</v>
      </c>
      <c r="L10" s="2">
        <v>3054459709.5757599</v>
      </c>
      <c r="M10" s="2">
        <v>5242842451.9049301</v>
      </c>
      <c r="N10" s="2">
        <v>3159787854.8935199</v>
      </c>
      <c r="O10" s="2">
        <v>2883414936.42381</v>
      </c>
      <c r="P10" s="2">
        <v>1716196408.91571</v>
      </c>
      <c r="Q10" s="2">
        <v>69287026073.360703</v>
      </c>
      <c r="R10" s="2">
        <v>34.487896113241398</v>
      </c>
      <c r="S10" s="2">
        <v>1.30552803834153</v>
      </c>
      <c r="T10" s="2">
        <v>2.38393721221447</v>
      </c>
      <c r="U10" s="2">
        <v>14.3552852443662</v>
      </c>
      <c r="V10" s="2">
        <v>3.6562812146511701</v>
      </c>
      <c r="W10" s="2">
        <v>4.2315553908117698</v>
      </c>
      <c r="X10" s="2">
        <v>9.4981635818157599</v>
      </c>
      <c r="Y10" s="2">
        <v>5.8847203467581997</v>
      </c>
      <c r="Z10" s="2">
        <v>1.0224510929291</v>
      </c>
      <c r="AA10" s="2">
        <v>4.4084150853028703</v>
      </c>
      <c r="AB10" s="2">
        <v>7.5668458426168197</v>
      </c>
      <c r="AC10" s="2">
        <v>4.56043221071136</v>
      </c>
      <c r="AD10" s="2">
        <v>4.1615510144292598</v>
      </c>
      <c r="AE10" s="2">
        <v>2.4769376118100501</v>
      </c>
    </row>
    <row r="11" spans="1:31">
      <c r="A11" s="7">
        <v>10</v>
      </c>
      <c r="B11" s="2">
        <v>2748063.5193039002</v>
      </c>
      <c r="C11" s="2">
        <v>26275826963.716499</v>
      </c>
      <c r="D11" s="2">
        <v>907616032.75166202</v>
      </c>
      <c r="E11" s="2">
        <v>2882140572.39182</v>
      </c>
      <c r="F11" s="2">
        <v>14425422944.259399</v>
      </c>
      <c r="G11" s="2">
        <v>5886209261.9639597</v>
      </c>
      <c r="H11" s="2">
        <v>5379905142.2717104</v>
      </c>
      <c r="I11" s="2">
        <v>11671019419.1194</v>
      </c>
      <c r="J11" s="2">
        <v>5904474902.4546003</v>
      </c>
      <c r="K11" s="2">
        <v>1697326386.02214</v>
      </c>
      <c r="L11" s="2">
        <v>5230961336.7513905</v>
      </c>
      <c r="M11" s="2">
        <v>7236301059.3639202</v>
      </c>
      <c r="N11" s="2">
        <v>6057604311.0866299</v>
      </c>
      <c r="O11" s="2">
        <v>4011181538.6979299</v>
      </c>
      <c r="P11" s="2">
        <v>2806102747.0468998</v>
      </c>
      <c r="Q11" s="2">
        <v>100372092617.89799</v>
      </c>
      <c r="R11" s="2">
        <v>26.178418999138302</v>
      </c>
      <c r="S11" s="2">
        <v>0.90425138011899797</v>
      </c>
      <c r="T11" s="2">
        <v>2.8714560962315501</v>
      </c>
      <c r="U11" s="2">
        <v>14.371945994166801</v>
      </c>
      <c r="V11" s="2">
        <v>5.8643883059924802</v>
      </c>
      <c r="W11" s="2">
        <v>5.3599611226122699</v>
      </c>
      <c r="X11" s="2">
        <v>11.627753407064301</v>
      </c>
      <c r="Y11" s="2">
        <v>5.8825862333388601</v>
      </c>
      <c r="Z11" s="2">
        <v>1.69103417269939</v>
      </c>
      <c r="AA11" s="2">
        <v>5.2115694714714103</v>
      </c>
      <c r="AB11" s="2">
        <v>7.2094751345988799</v>
      </c>
      <c r="AC11" s="2">
        <v>6.0351479710072802</v>
      </c>
      <c r="AD11" s="2">
        <v>3.9963115584009099</v>
      </c>
      <c r="AE11" s="2">
        <v>2.79570015315843</v>
      </c>
    </row>
    <row r="12" spans="1:31">
      <c r="A12" s="20" t="s">
        <v>76</v>
      </c>
      <c r="B12" s="3">
        <f>SUM(B2:B11)</f>
        <v>27479695.00677811</v>
      </c>
      <c r="C12" s="3">
        <f t="shared" ref="C12:Q12" si="0">SUM(C2:C11)</f>
        <v>208892532728.52148</v>
      </c>
      <c r="D12" s="3">
        <f t="shared" si="0"/>
        <v>8365761844.9240017</v>
      </c>
      <c r="E12" s="3">
        <f t="shared" si="0"/>
        <v>11402310159.456749</v>
      </c>
      <c r="F12" s="3">
        <f t="shared" si="0"/>
        <v>65509055501.914749</v>
      </c>
      <c r="G12" s="3">
        <f t="shared" si="0"/>
        <v>18271547723.777538</v>
      </c>
      <c r="H12" s="3">
        <f t="shared" si="0"/>
        <v>17471857626.443024</v>
      </c>
      <c r="I12" s="3">
        <f t="shared" si="0"/>
        <v>44901772670.504112</v>
      </c>
      <c r="J12" s="3">
        <f t="shared" si="0"/>
        <v>24165328058.004604</v>
      </c>
      <c r="K12" s="3">
        <f t="shared" si="0"/>
        <v>5056005526.9093742</v>
      </c>
      <c r="L12" s="3">
        <f t="shared" si="0"/>
        <v>19505798341.648476</v>
      </c>
      <c r="M12" s="3">
        <f t="shared" si="0"/>
        <v>33482985277.75045</v>
      </c>
      <c r="N12" s="3">
        <f t="shared" si="0"/>
        <v>16140975771.741011</v>
      </c>
      <c r="O12" s="3">
        <f t="shared" si="0"/>
        <v>21858092220.563309</v>
      </c>
      <c r="P12" s="3">
        <f t="shared" si="0"/>
        <v>11458071555.447399</v>
      </c>
      <c r="Q12" s="3">
        <f t="shared" si="0"/>
        <v>506482095007.60693</v>
      </c>
    </row>
    <row r="13" spans="1:31">
      <c r="A13" s="20" t="s">
        <v>77</v>
      </c>
      <c r="C13" s="2">
        <f>C12*12</f>
        <v>2506710392742.2578</v>
      </c>
      <c r="D13" s="2">
        <f t="shared" ref="D13:Q13" si="1">D12*12</f>
        <v>100389142139.08801</v>
      </c>
      <c r="E13" s="2">
        <f t="shared" si="1"/>
        <v>136827721913.48099</v>
      </c>
      <c r="F13" s="2">
        <f t="shared" si="1"/>
        <v>786108666022.97705</v>
      </c>
      <c r="G13" s="2">
        <f t="shared" si="1"/>
        <v>219258572685.33044</v>
      </c>
      <c r="H13" s="2">
        <f t="shared" si="1"/>
        <v>209662291517.31628</v>
      </c>
      <c r="I13" s="2">
        <f t="shared" si="1"/>
        <v>538821272046.04932</v>
      </c>
      <c r="J13" s="2">
        <f t="shared" si="1"/>
        <v>289983936696.05524</v>
      </c>
      <c r="K13" s="2">
        <f t="shared" si="1"/>
        <v>60672066322.912491</v>
      </c>
      <c r="L13" s="2">
        <f t="shared" si="1"/>
        <v>234069580099.78171</v>
      </c>
      <c r="M13" s="2">
        <f t="shared" si="1"/>
        <v>401795823333.00537</v>
      </c>
      <c r="N13" s="2">
        <f t="shared" si="1"/>
        <v>193691709260.89212</v>
      </c>
      <c r="O13" s="2">
        <f t="shared" si="1"/>
        <v>262297106646.7597</v>
      </c>
      <c r="P13" s="2">
        <f t="shared" si="1"/>
        <v>137496858665.36877</v>
      </c>
      <c r="Q13" s="2">
        <f t="shared" si="1"/>
        <v>6077785140091.2832</v>
      </c>
    </row>
    <row r="15" spans="1:31">
      <c r="A15"/>
      <c r="B15" s="2"/>
    </row>
    <row r="16" spans="1:31">
      <c r="A16" t="s">
        <v>1</v>
      </c>
      <c r="B16" s="2">
        <v>27479695.00677811</v>
      </c>
    </row>
    <row r="17" spans="1:6">
      <c r="A17" t="s">
        <v>103</v>
      </c>
      <c r="B17" s="2"/>
    </row>
    <row r="18" spans="1:6" s="8" customFormat="1" ht="34">
      <c r="A18" s="34"/>
      <c r="B18" s="34" t="s">
        <v>101</v>
      </c>
      <c r="C18" s="34" t="s">
        <v>101</v>
      </c>
      <c r="D18" s="34" t="s">
        <v>102</v>
      </c>
      <c r="E18" s="34" t="s">
        <v>102</v>
      </c>
    </row>
    <row r="19" spans="1:6">
      <c r="A19" s="40" t="s">
        <v>115</v>
      </c>
      <c r="B19" s="36">
        <v>208892532728.52148</v>
      </c>
      <c r="C19" s="37">
        <f>B19/B$33</f>
        <v>0.41243813905284077</v>
      </c>
      <c r="D19" s="36">
        <v>141408880112.64801</v>
      </c>
      <c r="E19" s="37">
        <f t="shared" ref="E19" si="2">D19/D$33</f>
        <v>0.27919818194268886</v>
      </c>
      <c r="F19" s="6">
        <f>D19/B19</f>
        <v>0.67694559621441419</v>
      </c>
    </row>
    <row r="20" spans="1:6">
      <c r="A20" s="38" t="s">
        <v>104</v>
      </c>
      <c r="B20" s="36">
        <v>8365761844.9240017</v>
      </c>
      <c r="C20" s="37">
        <f t="shared" ref="C20:E33" si="3">B20/B$33</f>
        <v>1.6517389118757209E-2</v>
      </c>
      <c r="D20" s="35">
        <v>0</v>
      </c>
      <c r="E20" s="37">
        <f t="shared" ref="E20" si="4">D20/D$33</f>
        <v>0</v>
      </c>
      <c r="F20" s="6">
        <f t="shared" ref="F20:F33" si="5">D20/B20</f>
        <v>0</v>
      </c>
    </row>
    <row r="21" spans="1:6">
      <c r="A21" s="38" t="s">
        <v>105</v>
      </c>
      <c r="B21" s="36">
        <v>11402310159.456749</v>
      </c>
      <c r="C21" s="37">
        <f t="shared" si="3"/>
        <v>2.2512760612565179E-2</v>
      </c>
      <c r="D21" s="35">
        <v>0</v>
      </c>
      <c r="E21" s="37">
        <f t="shared" ref="E21" si="6">D21/D$33</f>
        <v>0</v>
      </c>
      <c r="F21" s="6">
        <f t="shared" si="5"/>
        <v>0</v>
      </c>
    </row>
    <row r="22" spans="1:6">
      <c r="A22" s="40" t="s">
        <v>111</v>
      </c>
      <c r="B22" s="36">
        <v>65509055501.914749</v>
      </c>
      <c r="C22" s="37">
        <f t="shared" si="3"/>
        <v>0.12934130573940794</v>
      </c>
      <c r="D22" s="36">
        <v>17708984981.132751</v>
      </c>
      <c r="E22" s="37">
        <f t="shared" ref="E22" si="7">D22/D$33</f>
        <v>3.4964681191477824E-2</v>
      </c>
      <c r="F22" s="6">
        <f t="shared" si="5"/>
        <v>0.27032880943635557</v>
      </c>
    </row>
    <row r="23" spans="1:6">
      <c r="A23" s="35" t="s">
        <v>114</v>
      </c>
      <c r="B23" s="36">
        <v>18271547723.777538</v>
      </c>
      <c r="C23" s="37">
        <f t="shared" si="3"/>
        <v>3.6075407016121892E-2</v>
      </c>
      <c r="D23" s="36">
        <v>4234047000.5916023</v>
      </c>
      <c r="E23" s="37">
        <f t="shared" ref="E23" si="8">D23/D$33</f>
        <v>8.3597170409903873E-3</v>
      </c>
      <c r="F23" s="6">
        <f t="shared" si="5"/>
        <v>0.23172897362611805</v>
      </c>
    </row>
    <row r="24" spans="1:6">
      <c r="A24" s="38" t="s">
        <v>106</v>
      </c>
      <c r="B24" s="36">
        <v>17471857626.443024</v>
      </c>
      <c r="C24" s="37">
        <f t="shared" si="3"/>
        <v>3.4496496122297493E-2</v>
      </c>
      <c r="D24" s="36">
        <v>9674287392.363163</v>
      </c>
      <c r="E24" s="37">
        <f t="shared" ref="E24" si="9">D24/D$33</f>
        <v>1.9100946485024053E-2</v>
      </c>
      <c r="F24" s="6">
        <f t="shared" si="5"/>
        <v>0.55370685814892862</v>
      </c>
    </row>
    <row r="25" spans="1:6">
      <c r="A25" s="40" t="s">
        <v>107</v>
      </c>
      <c r="B25" s="36">
        <v>44901772670.504112</v>
      </c>
      <c r="C25" s="37">
        <f t="shared" si="3"/>
        <v>8.8654215248872181E-2</v>
      </c>
      <c r="D25" s="36">
        <v>16613633534.112116</v>
      </c>
      <c r="E25" s="37">
        <f t="shared" ref="E25" si="10">D25/D$33</f>
        <v>3.2802015506318345E-2</v>
      </c>
      <c r="F25" s="6">
        <f t="shared" si="5"/>
        <v>0.36999950215830968</v>
      </c>
    </row>
    <row r="26" spans="1:6">
      <c r="A26" s="35" t="s">
        <v>120</v>
      </c>
      <c r="B26" s="36">
        <v>24165328058.004604</v>
      </c>
      <c r="C26" s="37">
        <f t="shared" si="3"/>
        <v>4.7712107291061616E-2</v>
      </c>
      <c r="D26" s="36">
        <v>0</v>
      </c>
      <c r="E26" s="37">
        <f t="shared" ref="E26" si="11">D26/D$33</f>
        <v>0</v>
      </c>
      <c r="F26" s="6">
        <f t="shared" si="5"/>
        <v>0</v>
      </c>
    </row>
    <row r="27" spans="1:6">
      <c r="A27" s="40" t="s">
        <v>109</v>
      </c>
      <c r="B27" s="36">
        <v>5056005526.9093742</v>
      </c>
      <c r="C27" s="37">
        <f t="shared" si="3"/>
        <v>9.9825947980124296E-3</v>
      </c>
      <c r="D27" s="36">
        <v>456625856.80066192</v>
      </c>
      <c r="E27" s="37">
        <f t="shared" ref="E27" si="12">D27/D$33</f>
        <v>9.015636708614626E-4</v>
      </c>
      <c r="F27" s="6">
        <f t="shared" si="5"/>
        <v>9.0313559660957748E-2</v>
      </c>
    </row>
    <row r="28" spans="1:6">
      <c r="A28" s="40" t="s">
        <v>108</v>
      </c>
      <c r="B28" s="36">
        <v>19505798341.648476</v>
      </c>
      <c r="C28" s="37">
        <f t="shared" si="3"/>
        <v>3.8512315704576909E-2</v>
      </c>
      <c r="D28" s="36">
        <v>18490627235.181778</v>
      </c>
      <c r="E28" s="37">
        <f t="shared" ref="E28" si="13">D28/D$33</f>
        <v>3.6507958361102724E-2</v>
      </c>
      <c r="F28" s="6">
        <f t="shared" si="5"/>
        <v>0.94795541875878409</v>
      </c>
    </row>
    <row r="29" spans="1:6">
      <c r="A29" s="35" t="s">
        <v>116</v>
      </c>
      <c r="B29" s="36">
        <v>33482985277.75045</v>
      </c>
      <c r="C29" s="37">
        <f t="shared" si="3"/>
        <v>6.6108921929900727E-2</v>
      </c>
      <c r="D29" s="36">
        <v>0</v>
      </c>
      <c r="E29" s="37">
        <f t="shared" ref="E29" si="14">D29/D$33</f>
        <v>0</v>
      </c>
      <c r="F29" s="6">
        <f t="shared" si="5"/>
        <v>0</v>
      </c>
    </row>
    <row r="30" spans="1:6">
      <c r="A30" s="40" t="s">
        <v>113</v>
      </c>
      <c r="B30" s="36">
        <v>16140975771.741011</v>
      </c>
      <c r="C30" s="37">
        <f t="shared" si="3"/>
        <v>3.1868798385653867E-2</v>
      </c>
      <c r="D30" s="36">
        <v>14876516517.106092</v>
      </c>
      <c r="E30" s="37">
        <f t="shared" ref="E30" si="15">D30/D$33</f>
        <v>2.9372245660298547E-2</v>
      </c>
      <c r="F30" s="6">
        <f t="shared" si="5"/>
        <v>0.92166153567687747</v>
      </c>
    </row>
    <row r="31" spans="1:6">
      <c r="A31" s="35" t="s">
        <v>117</v>
      </c>
      <c r="B31" s="36">
        <v>21858092220.563309</v>
      </c>
      <c r="C31" s="37">
        <f t="shared" si="3"/>
        <v>4.3156692874276273E-2</v>
      </c>
      <c r="D31" s="36">
        <v>0</v>
      </c>
      <c r="E31" s="37">
        <f t="shared" ref="E31" si="16">D31/D$33</f>
        <v>0</v>
      </c>
      <c r="F31" s="6">
        <f t="shared" si="5"/>
        <v>0</v>
      </c>
    </row>
    <row r="32" spans="1:6">
      <c r="A32" s="35" t="s">
        <v>118</v>
      </c>
      <c r="B32" s="36">
        <v>11458071555.447399</v>
      </c>
      <c r="C32" s="37">
        <f t="shared" si="3"/>
        <v>2.2622856105654256E-2</v>
      </c>
      <c r="D32" s="36">
        <v>0</v>
      </c>
      <c r="E32" s="37">
        <f t="shared" ref="E32" si="17">D32/D$33</f>
        <v>0</v>
      </c>
      <c r="F32" s="6">
        <f t="shared" si="5"/>
        <v>0</v>
      </c>
    </row>
    <row r="33" spans="1:6">
      <c r="A33" s="35" t="s">
        <v>119</v>
      </c>
      <c r="B33" s="36">
        <v>506482095007.60693</v>
      </c>
      <c r="C33" s="37">
        <f t="shared" si="3"/>
        <v>1</v>
      </c>
      <c r="D33" s="36">
        <v>506482095007.60669</v>
      </c>
      <c r="E33" s="37">
        <f t="shared" si="3"/>
        <v>1</v>
      </c>
      <c r="F33" s="6">
        <f t="shared" si="5"/>
        <v>0.99999999999999956</v>
      </c>
    </row>
    <row r="38" spans="1:6">
      <c r="A38" s="38"/>
      <c r="B38" s="40"/>
    </row>
    <row r="39" spans="1:6">
      <c r="A39" s="38"/>
      <c r="B39" s="40"/>
    </row>
    <row r="40" spans="1:6">
      <c r="A40" s="38"/>
      <c r="B40" s="40"/>
    </row>
    <row r="41" spans="1:6">
      <c r="A41" s="38"/>
      <c r="B41" s="40"/>
    </row>
    <row r="42" spans="1:6">
      <c r="A42" s="38"/>
      <c r="B42" s="40"/>
    </row>
    <row r="43" spans="1:6">
      <c r="A43" s="38"/>
      <c r="B43" s="40"/>
    </row>
    <row r="44" spans="1:6">
      <c r="A44" s="38"/>
      <c r="B44" s="40"/>
    </row>
    <row r="45" spans="1:6">
      <c r="A45" s="38"/>
    </row>
    <row r="46" spans="1:6">
      <c r="A46" s="38"/>
    </row>
    <row r="47" spans="1:6">
      <c r="A47" s="38"/>
    </row>
    <row r="48" spans="1:6">
      <c r="A48" s="38"/>
    </row>
    <row r="49" spans="1:1">
      <c r="A49" s="38"/>
    </row>
  </sheetData>
  <conditionalFormatting sqref="C19:C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{FC699594-7106-FF4A-AB3D-CD6B0E6B1A3A}</x14:id>
        </ext>
      </extLst>
    </cfRule>
  </conditionalFormatting>
  <conditionalFormatting sqref="E19:E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{2434EE52-F69E-104F-A4B0-798691FD276C}</x14:id>
        </ext>
      </extLst>
    </cfRule>
  </conditionalFormatting>
  <conditionalFormatting sqref="F19:F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{EDA5A004-836D-2449-8A15-FCC7E14AC438}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699594-7106-FF4A-AB3D-CD6B0E6B1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C19:C32</xm:sqref>
        </x14:conditionalFormatting>
        <x14:conditionalFormatting xmlns:xm="http://schemas.microsoft.com/office/excel/2006/main">
          <x14:cfRule type="dataBar" id="{2434EE52-F69E-104F-A4B0-798691FD27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E19:E32</xm:sqref>
        </x14:conditionalFormatting>
        <x14:conditionalFormatting xmlns:xm="http://schemas.microsoft.com/office/excel/2006/main">
          <x14:cfRule type="dataBar" id="{EDA5A004-836D-2449-8A15-FCC7E14AC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F19:F32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FC65-0CFD-8945-8621-3D3C0A3AEE5E}">
  <dimension ref="A1:U38"/>
  <sheetViews>
    <sheetView workbookViewId="0">
      <selection activeCell="M23" sqref="M23"/>
    </sheetView>
  </sheetViews>
  <sheetFormatPr baseColWidth="10" defaultRowHeight="16"/>
  <cols>
    <col min="2" max="2" width="13.1640625" customWidth="1"/>
    <col min="3" max="3" width="16.33203125" bestFit="1" customWidth="1"/>
    <col min="4" max="4" width="18.33203125" bestFit="1" customWidth="1"/>
    <col min="5" max="6" width="17" bestFit="1" customWidth="1"/>
    <col min="7" max="7" width="18" bestFit="1" customWidth="1"/>
    <col min="8" max="9" width="14" bestFit="1" customWidth="1"/>
    <col min="10" max="14" width="12.1640625" customWidth="1"/>
    <col min="15" max="15" width="16.6640625" bestFit="1" customWidth="1"/>
    <col min="16" max="21" width="11" bestFit="1" customWidth="1"/>
  </cols>
  <sheetData>
    <row r="1" spans="1:21" s="8" customFormat="1" ht="51">
      <c r="A1" s="8" t="s">
        <v>0</v>
      </c>
      <c r="B1" s="8" t="s">
        <v>1</v>
      </c>
      <c r="C1" s="8" t="s">
        <v>20</v>
      </c>
      <c r="D1" s="8" t="s">
        <v>75</v>
      </c>
      <c r="E1" s="8" t="s">
        <v>18</v>
      </c>
      <c r="F1" s="8" t="s">
        <v>17</v>
      </c>
      <c r="G1" s="8" t="s">
        <v>4</v>
      </c>
      <c r="H1" s="8" t="s">
        <v>16</v>
      </c>
      <c r="I1" s="8" t="s">
        <v>15</v>
      </c>
      <c r="J1" s="8" t="s">
        <v>14</v>
      </c>
      <c r="K1" s="8" t="s">
        <v>13</v>
      </c>
      <c r="L1" s="8" t="s">
        <v>12</v>
      </c>
      <c r="M1" s="8" t="s">
        <v>11</v>
      </c>
      <c r="N1" s="8" t="s">
        <v>128</v>
      </c>
      <c r="O1" s="8" t="s">
        <v>68</v>
      </c>
      <c r="P1" s="8" t="s">
        <v>127</v>
      </c>
      <c r="Q1" s="8" t="s">
        <v>126</v>
      </c>
      <c r="R1" s="8" t="s">
        <v>125</v>
      </c>
      <c r="S1" s="8" t="s">
        <v>124</v>
      </c>
      <c r="T1" s="8" t="s">
        <v>123</v>
      </c>
      <c r="U1" s="8" t="s">
        <v>122</v>
      </c>
    </row>
    <row r="2" spans="1:21">
      <c r="A2">
        <v>1</v>
      </c>
      <c r="B2" s="2">
        <v>2747642.50515944</v>
      </c>
      <c r="C2" s="2">
        <v>32807166219.147499</v>
      </c>
      <c r="D2" s="2">
        <v>29276373226.599098</v>
      </c>
      <c r="E2" s="2">
        <v>12730887016.797501</v>
      </c>
      <c r="F2" s="2">
        <v>13799492511.298201</v>
      </c>
      <c r="G2" s="2">
        <v>26530379528.095699</v>
      </c>
      <c r="H2" s="1">
        <v>47.9860719795413</v>
      </c>
      <c r="I2" s="1">
        <v>52.0139280204586</v>
      </c>
      <c r="J2" s="1">
        <v>38.805201679891702</v>
      </c>
      <c r="K2" s="1">
        <v>42.062433613191203</v>
      </c>
      <c r="L2" s="1">
        <v>43.485191687715101</v>
      </c>
      <c r="M2" s="1">
        <v>47.135252732605103</v>
      </c>
      <c r="N2" s="2">
        <v>1527706442.0157001</v>
      </c>
      <c r="O2" s="2">
        <v>1655939101.3557799</v>
      </c>
      <c r="P2" s="2">
        <v>4.6566242015870101</v>
      </c>
      <c r="Q2" s="2">
        <v>5.2182230025258098</v>
      </c>
      <c r="R2" s="2">
        <v>5.7583286375449498</v>
      </c>
      <c r="S2" s="2">
        <v>5.0474920335829401</v>
      </c>
      <c r="T2" s="2">
        <v>5.6562303279126196</v>
      </c>
      <c r="U2" s="2">
        <v>6.2416713624550297</v>
      </c>
    </row>
    <row r="3" spans="1:21">
      <c r="A3">
        <v>2</v>
      </c>
      <c r="B3" s="2">
        <v>2748295.6540946802</v>
      </c>
      <c r="C3" s="2">
        <v>41822410674.936996</v>
      </c>
      <c r="D3" s="2">
        <v>35426039310.566101</v>
      </c>
      <c r="E3" s="2">
        <v>16171881744.9347</v>
      </c>
      <c r="F3" s="2">
        <v>15540656739.6842</v>
      </c>
      <c r="G3" s="2">
        <v>31712538484.6189</v>
      </c>
      <c r="H3" s="1">
        <v>50.995229387828097</v>
      </c>
      <c r="I3" s="1">
        <v>49.004770612171797</v>
      </c>
      <c r="J3" s="1">
        <v>38.667980835992402</v>
      </c>
      <c r="K3" s="1">
        <v>37.158682364039997</v>
      </c>
      <c r="L3" s="1">
        <v>45.649703042336199</v>
      </c>
      <c r="M3" s="1">
        <v>43.8678922118429</v>
      </c>
      <c r="N3" s="2">
        <v>1940625809.3921599</v>
      </c>
      <c r="O3" s="2">
        <v>1864878808.7621</v>
      </c>
      <c r="P3" s="2">
        <v>4.6401577003190901</v>
      </c>
      <c r="Q3" s="2">
        <v>5.47796436508035</v>
      </c>
      <c r="R3" s="2">
        <v>6.11942752653938</v>
      </c>
      <c r="S3" s="2">
        <v>4.4590418836848</v>
      </c>
      <c r="T3" s="2">
        <v>5.26414706542114</v>
      </c>
      <c r="U3" s="2">
        <v>5.8805724734606102</v>
      </c>
    </row>
    <row r="4" spans="1:21">
      <c r="A4">
        <v>3</v>
      </c>
      <c r="B4" s="2">
        <v>2747874.69444041</v>
      </c>
      <c r="C4" s="2">
        <v>47728594014.963997</v>
      </c>
      <c r="D4" s="2">
        <v>39497871055.729301</v>
      </c>
      <c r="E4" s="2">
        <v>18492395560.589802</v>
      </c>
      <c r="F4" s="2">
        <v>16596332039.166201</v>
      </c>
      <c r="G4" s="2">
        <v>35088727599.755997</v>
      </c>
      <c r="H4" s="1">
        <v>52.701812877131502</v>
      </c>
      <c r="I4" s="1">
        <v>47.298187122868399</v>
      </c>
      <c r="J4" s="1">
        <v>38.744899032207101</v>
      </c>
      <c r="K4" s="1">
        <v>34.772304488925201</v>
      </c>
      <c r="L4" s="1">
        <v>46.8187146960353</v>
      </c>
      <c r="M4" s="1">
        <v>42.018295152540503</v>
      </c>
      <c r="N4" s="2">
        <v>2219087467.2707801</v>
      </c>
      <c r="O4" s="2">
        <v>1991559844.69994</v>
      </c>
      <c r="P4" s="2">
        <v>4.6493878838648497</v>
      </c>
      <c r="Q4" s="2">
        <v>5.6182457635242402</v>
      </c>
      <c r="R4" s="2">
        <v>6.3242175452557801</v>
      </c>
      <c r="S4" s="2">
        <v>4.1726765386710198</v>
      </c>
      <c r="T4" s="2">
        <v>5.0421954183048596</v>
      </c>
      <c r="U4" s="2">
        <v>5.6757824547442102</v>
      </c>
    </row>
    <row r="5" spans="1:21">
      <c r="A5">
        <v>4</v>
      </c>
      <c r="B5" s="2">
        <v>2747979.4784429399</v>
      </c>
      <c r="C5" s="2">
        <v>55228987672.520798</v>
      </c>
      <c r="D5" s="2">
        <v>44792749154.822098</v>
      </c>
      <c r="E5" s="2">
        <v>21174220742.446899</v>
      </c>
      <c r="F5" s="2">
        <v>18343675668.4002</v>
      </c>
      <c r="G5" s="2">
        <v>39517896410.847198</v>
      </c>
      <c r="H5" s="1">
        <v>53.581345834579601</v>
      </c>
      <c r="I5" s="1">
        <v>46.4186541654203</v>
      </c>
      <c r="J5" s="1">
        <v>38.338962263800802</v>
      </c>
      <c r="K5" s="1">
        <v>33.213854610496703</v>
      </c>
      <c r="L5" s="1">
        <v>47.271536447249801</v>
      </c>
      <c r="M5" s="1">
        <v>40.952332720184103</v>
      </c>
      <c r="N5" s="2">
        <v>2540906489.0936298</v>
      </c>
      <c r="O5" s="2">
        <v>2201241080.2080202</v>
      </c>
      <c r="P5" s="2">
        <v>4.60067547165609</v>
      </c>
      <c r="Q5" s="2">
        <v>5.6725843736699799</v>
      </c>
      <c r="R5" s="2">
        <v>6.4297615001495503</v>
      </c>
      <c r="S5" s="2">
        <v>3.9856625532595999</v>
      </c>
      <c r="T5" s="2">
        <v>4.9142799264220898</v>
      </c>
      <c r="U5" s="2">
        <v>5.57023849985044</v>
      </c>
    </row>
    <row r="6" spans="1:21">
      <c r="A6">
        <v>5</v>
      </c>
      <c r="B6" s="2">
        <v>2747628.8515828899</v>
      </c>
      <c r="C6" s="2">
        <v>62300009849.796898</v>
      </c>
      <c r="D6" s="2">
        <v>49501029635.587097</v>
      </c>
      <c r="E6" s="2">
        <v>23802239836.017101</v>
      </c>
      <c r="F6" s="2">
        <v>19654031599.593601</v>
      </c>
      <c r="G6" s="2">
        <v>43456271435.610802</v>
      </c>
      <c r="H6" s="1">
        <v>54.7728533758008</v>
      </c>
      <c r="I6" s="1">
        <v>45.227146624199101</v>
      </c>
      <c r="J6" s="1">
        <v>38.205836392969204</v>
      </c>
      <c r="K6" s="1">
        <v>31.547397258810701</v>
      </c>
      <c r="L6" s="1">
        <v>48.084332813362899</v>
      </c>
      <c r="M6" s="1">
        <v>39.704288464868696</v>
      </c>
      <c r="N6" s="2">
        <v>2856268780.3220501</v>
      </c>
      <c r="O6" s="2">
        <v>2358483791.9512401</v>
      </c>
      <c r="P6" s="2">
        <v>4.5847003671563096</v>
      </c>
      <c r="Q6" s="2">
        <v>5.7701199376035497</v>
      </c>
      <c r="R6" s="2">
        <v>6.5727424050960996</v>
      </c>
      <c r="S6" s="2">
        <v>3.78568767105729</v>
      </c>
      <c r="T6" s="2">
        <v>4.7645146157842397</v>
      </c>
      <c r="U6" s="2">
        <v>5.4272575949038897</v>
      </c>
    </row>
    <row r="7" spans="1:21">
      <c r="A7">
        <v>6</v>
      </c>
      <c r="B7" s="2">
        <v>2748336.9317767601</v>
      </c>
      <c r="C7" s="2">
        <v>70697712578.309692</v>
      </c>
      <c r="D7" s="2">
        <v>54853430904.834999</v>
      </c>
      <c r="E7" s="2">
        <v>26514380477.310398</v>
      </c>
      <c r="F7" s="2">
        <v>21273415620.797298</v>
      </c>
      <c r="G7" s="2">
        <v>47787796098.107697</v>
      </c>
      <c r="H7" s="1">
        <v>55.4835808348992</v>
      </c>
      <c r="I7" s="1">
        <v>44.5164191651008</v>
      </c>
      <c r="J7" s="1">
        <v>37.503873195248303</v>
      </c>
      <c r="K7" s="1">
        <v>30.090670327181201</v>
      </c>
      <c r="L7" s="1">
        <v>48.336776824972098</v>
      </c>
      <c r="M7" s="1">
        <v>38.782288126524797</v>
      </c>
      <c r="N7" s="2">
        <v>3181725657.2772498</v>
      </c>
      <c r="O7" s="2">
        <v>2552809874.4956799</v>
      </c>
      <c r="P7" s="2">
        <v>4.5004647834298002</v>
      </c>
      <c r="Q7" s="2">
        <v>5.8004132189966597</v>
      </c>
      <c r="R7" s="2">
        <v>6.6580297001878996</v>
      </c>
      <c r="S7" s="2">
        <v>3.61088043926175</v>
      </c>
      <c r="T7" s="2">
        <v>4.6538745751829804</v>
      </c>
      <c r="U7" s="2">
        <v>5.3419702998121004</v>
      </c>
    </row>
    <row r="8" spans="1:21">
      <c r="A8">
        <v>7</v>
      </c>
      <c r="B8" s="2">
        <v>2747846.3569293302</v>
      </c>
      <c r="C8" s="2">
        <v>80541995781.497406</v>
      </c>
      <c r="D8" s="2">
        <v>60962714759.237099</v>
      </c>
      <c r="E8" s="2">
        <v>29745178079.321999</v>
      </c>
      <c r="F8" s="2">
        <v>23156145640.561298</v>
      </c>
      <c r="G8" s="2">
        <v>52901323719.883301</v>
      </c>
      <c r="H8" s="1">
        <v>56.2276631050388</v>
      </c>
      <c r="I8" s="1">
        <v>43.7723368949611</v>
      </c>
      <c r="J8" s="1">
        <v>36.931265224688197</v>
      </c>
      <c r="K8" s="1">
        <v>28.750399609393401</v>
      </c>
      <c r="L8" s="1">
        <v>48.792410568978099</v>
      </c>
      <c r="M8" s="1">
        <v>37.984111652528803</v>
      </c>
      <c r="N8" s="2">
        <v>3569421369.51864</v>
      </c>
      <c r="O8" s="2">
        <v>2778737476.8673501</v>
      </c>
      <c r="P8" s="2">
        <v>4.4317518269625804</v>
      </c>
      <c r="Q8" s="2">
        <v>5.8550892682773696</v>
      </c>
      <c r="R8" s="2">
        <v>6.7473195726046598</v>
      </c>
      <c r="S8" s="2">
        <v>3.4500479531271999</v>
      </c>
      <c r="T8" s="2">
        <v>4.5580933983034599</v>
      </c>
      <c r="U8" s="2">
        <v>5.2526804273953296</v>
      </c>
    </row>
    <row r="9" spans="1:21">
      <c r="A9">
        <v>8</v>
      </c>
      <c r="B9" s="2">
        <v>2747984.4327531499</v>
      </c>
      <c r="C9" s="2">
        <v>95316514865.332199</v>
      </c>
      <c r="D9" s="2">
        <v>69592985603.748001</v>
      </c>
      <c r="E9" s="2">
        <v>33990731017.6814</v>
      </c>
      <c r="F9" s="2">
        <v>25837312021.747002</v>
      </c>
      <c r="G9" s="2">
        <v>59828043039.428398</v>
      </c>
      <c r="H9" s="1">
        <v>56.814044536406598</v>
      </c>
      <c r="I9" s="1">
        <v>43.185955463593302</v>
      </c>
      <c r="J9" s="1">
        <v>35.6609041630457</v>
      </c>
      <c r="K9" s="1">
        <v>27.106857671255799</v>
      </c>
      <c r="L9" s="1">
        <v>48.842179600138799</v>
      </c>
      <c r="M9" s="1">
        <v>37.126316391799499</v>
      </c>
      <c r="N9" s="2">
        <v>4078887722.1217599</v>
      </c>
      <c r="O9" s="2">
        <v>3100477442.6096401</v>
      </c>
      <c r="P9" s="2">
        <v>4.2793084995654898</v>
      </c>
      <c r="Q9" s="2">
        <v>5.8610615520166602</v>
      </c>
      <c r="R9" s="2">
        <v>6.8176853443687904</v>
      </c>
      <c r="S9" s="2">
        <v>3.2528229205507002</v>
      </c>
      <c r="T9" s="2">
        <v>4.45515796701594</v>
      </c>
      <c r="U9" s="2">
        <v>5.1823146556311901</v>
      </c>
    </row>
    <row r="10" spans="1:21">
      <c r="A10">
        <v>9</v>
      </c>
      <c r="B10" s="2">
        <v>2748042.5822946099</v>
      </c>
      <c r="C10" s="2">
        <v>117372854152.933</v>
      </c>
      <c r="D10" s="2">
        <v>82061193028.969299</v>
      </c>
      <c r="E10" s="2">
        <v>40157035542.102303</v>
      </c>
      <c r="F10" s="2">
        <v>29129990531.2584</v>
      </c>
      <c r="G10" s="2">
        <v>69287026073.360703</v>
      </c>
      <c r="H10" s="1">
        <v>57.957510688341998</v>
      </c>
      <c r="I10" s="1">
        <v>42.042489311658002</v>
      </c>
      <c r="J10" s="1">
        <v>34.213222326330097</v>
      </c>
      <c r="K10" s="1">
        <v>24.818337034986602</v>
      </c>
      <c r="L10" s="1">
        <v>48.935476148788197</v>
      </c>
      <c r="M10" s="1">
        <v>35.497888168619298</v>
      </c>
      <c r="N10" s="2">
        <v>4818844265.0522804</v>
      </c>
      <c r="O10" s="2">
        <v>3495598863.7509999</v>
      </c>
      <c r="P10" s="2">
        <v>4.1055866791596101</v>
      </c>
      <c r="Q10" s="2">
        <v>5.8722571378545796</v>
      </c>
      <c r="R10" s="2">
        <v>6.9549012826010399</v>
      </c>
      <c r="S10" s="2">
        <v>2.9782004441984</v>
      </c>
      <c r="T10" s="2">
        <v>4.25974658023432</v>
      </c>
      <c r="U10" s="2">
        <v>5.0450987173989601</v>
      </c>
    </row>
    <row r="11" spans="1:21">
      <c r="A11">
        <v>10</v>
      </c>
      <c r="B11" s="2">
        <v>2748063.5193039002</v>
      </c>
      <c r="C11" s="2">
        <v>205068163103.01001</v>
      </c>
      <c r="D11" s="2">
        <v>124958992792.82401</v>
      </c>
      <c r="E11" s="2">
        <v>60239542360.468002</v>
      </c>
      <c r="F11" s="2">
        <v>40132550257.43</v>
      </c>
      <c r="G11" s="2">
        <v>100372092617.89799</v>
      </c>
      <c r="H11" s="1">
        <v>60.016226412446201</v>
      </c>
      <c r="I11" s="1">
        <v>39.9837735875536</v>
      </c>
      <c r="J11" s="1">
        <v>29.3753752161949</v>
      </c>
      <c r="K11" s="1">
        <v>19.5703465863057</v>
      </c>
      <c r="L11" s="1">
        <v>48.207448711067798</v>
      </c>
      <c r="M11" s="1">
        <v>32.116576294726997</v>
      </c>
      <c r="N11" s="2">
        <v>7228745083.2561598</v>
      </c>
      <c r="O11" s="2">
        <v>4815906030.8915997</v>
      </c>
      <c r="P11" s="2">
        <v>3.5250450259433799</v>
      </c>
      <c r="Q11" s="2">
        <v>5.7848938453281296</v>
      </c>
      <c r="R11" s="2">
        <v>7.2019471694935504</v>
      </c>
      <c r="S11" s="2">
        <v>2.34844159035669</v>
      </c>
      <c r="T11" s="2">
        <v>3.8539891553672398</v>
      </c>
      <c r="U11" s="2">
        <v>4.7980528305064398</v>
      </c>
    </row>
    <row r="16" spans="1:21" ht="34">
      <c r="A16" s="8" t="s">
        <v>0</v>
      </c>
      <c r="B16" s="8" t="s">
        <v>1</v>
      </c>
      <c r="C16" s="8" t="s">
        <v>20</v>
      </c>
      <c r="D16" s="8" t="s">
        <v>75</v>
      </c>
      <c r="E16" s="8" t="s">
        <v>18</v>
      </c>
      <c r="F16" s="8" t="s">
        <v>17</v>
      </c>
      <c r="G16" s="8" t="s">
        <v>4</v>
      </c>
      <c r="H16" s="8" t="s">
        <v>128</v>
      </c>
      <c r="I16" s="8" t="s">
        <v>68</v>
      </c>
    </row>
    <row r="17" spans="1:14">
      <c r="A17">
        <v>1</v>
      </c>
      <c r="B17" s="2">
        <v>2747642.50515944</v>
      </c>
      <c r="C17" s="2">
        <v>32807166219.147499</v>
      </c>
      <c r="D17" s="2">
        <v>29276373226.599098</v>
      </c>
      <c r="E17" s="2">
        <v>12730887016.797501</v>
      </c>
      <c r="F17" s="2">
        <v>13799492511.298201</v>
      </c>
      <c r="G17" s="2">
        <v>26530379528.095699</v>
      </c>
      <c r="H17" s="2">
        <v>1527706442.0157001</v>
      </c>
      <c r="I17" s="2">
        <v>1655939101.3557799</v>
      </c>
    </row>
    <row r="18" spans="1:14">
      <c r="A18">
        <v>2</v>
      </c>
      <c r="B18" s="2">
        <v>2748295.6540946802</v>
      </c>
      <c r="C18" s="2">
        <v>41822410674.936996</v>
      </c>
      <c r="D18" s="2">
        <v>35426039310.566101</v>
      </c>
      <c r="E18" s="2">
        <v>16171881744.9347</v>
      </c>
      <c r="F18" s="2">
        <v>15540656739.6842</v>
      </c>
      <c r="G18" s="2">
        <v>31712538484.6189</v>
      </c>
      <c r="H18" s="2">
        <v>1940625809.3921599</v>
      </c>
      <c r="I18" s="2">
        <v>1864878808.7621</v>
      </c>
    </row>
    <row r="19" spans="1:14">
      <c r="A19">
        <v>3</v>
      </c>
      <c r="B19" s="2">
        <v>2747874.69444041</v>
      </c>
      <c r="C19" s="2">
        <v>47728594014.963997</v>
      </c>
      <c r="D19" s="2">
        <v>39497871055.729301</v>
      </c>
      <c r="E19" s="2">
        <v>18492395560.589802</v>
      </c>
      <c r="F19" s="2">
        <v>16596332039.166201</v>
      </c>
      <c r="G19" s="2">
        <v>35088727599.755997</v>
      </c>
      <c r="H19" s="2">
        <v>2219087467.2707801</v>
      </c>
      <c r="I19" s="2">
        <v>1991559844.69994</v>
      </c>
    </row>
    <row r="20" spans="1:14">
      <c r="A20">
        <v>4</v>
      </c>
      <c r="B20" s="2">
        <v>2747979.4784429399</v>
      </c>
      <c r="C20" s="2">
        <v>55228987672.520798</v>
      </c>
      <c r="D20" s="2">
        <v>44792749154.822098</v>
      </c>
      <c r="E20" s="2">
        <v>21174220742.446899</v>
      </c>
      <c r="F20" s="2">
        <v>18343675668.4002</v>
      </c>
      <c r="G20" s="2">
        <v>39517896410.847198</v>
      </c>
      <c r="H20" s="2">
        <v>2540906489.0936298</v>
      </c>
      <c r="I20" s="2">
        <v>2201241080.2080202</v>
      </c>
    </row>
    <row r="21" spans="1:14">
      <c r="A21">
        <v>5</v>
      </c>
      <c r="B21" s="2">
        <v>2747628.8515828899</v>
      </c>
      <c r="C21" s="2">
        <v>62300009849.796898</v>
      </c>
      <c r="D21" s="2">
        <v>49501029635.587097</v>
      </c>
      <c r="E21" s="2">
        <v>23802239836.017101</v>
      </c>
      <c r="F21" s="2">
        <v>19654031599.593601</v>
      </c>
      <c r="G21" s="2">
        <v>43456271435.610802</v>
      </c>
      <c r="H21" s="2">
        <v>2856268780.3220501</v>
      </c>
      <c r="I21" s="2">
        <v>2358483791.9512401</v>
      </c>
    </row>
    <row r="22" spans="1:14">
      <c r="A22">
        <v>6</v>
      </c>
      <c r="B22" s="2">
        <v>2748336.9317767601</v>
      </c>
      <c r="C22" s="2">
        <v>70697712578.309692</v>
      </c>
      <c r="D22" s="2">
        <v>54853430904.834999</v>
      </c>
      <c r="E22" s="2">
        <v>26514380477.310398</v>
      </c>
      <c r="F22" s="2">
        <v>21273415620.797298</v>
      </c>
      <c r="G22" s="2">
        <v>47787796098.107697</v>
      </c>
      <c r="H22" s="2">
        <v>3181725657.2772498</v>
      </c>
      <c r="I22" s="2">
        <v>2552809874.4956799</v>
      </c>
    </row>
    <row r="23" spans="1:14">
      <c r="A23">
        <v>7</v>
      </c>
      <c r="B23" s="2">
        <v>2747846.3569293302</v>
      </c>
      <c r="C23" s="2">
        <v>80541995781.497406</v>
      </c>
      <c r="D23" s="2">
        <v>60962714759.237099</v>
      </c>
      <c r="E23" s="2">
        <v>29745178079.321999</v>
      </c>
      <c r="F23" s="2">
        <v>23156145640.561298</v>
      </c>
      <c r="G23" s="2">
        <v>52901323719.883301</v>
      </c>
      <c r="H23" s="2">
        <v>3569421369.51864</v>
      </c>
      <c r="I23" s="2">
        <v>2778737476.8673501</v>
      </c>
    </row>
    <row r="24" spans="1:14">
      <c r="A24">
        <v>8</v>
      </c>
      <c r="B24" s="2">
        <v>2747984.4327531499</v>
      </c>
      <c r="C24" s="2">
        <v>95316514865.332199</v>
      </c>
      <c r="D24" s="2">
        <v>69592985603.748001</v>
      </c>
      <c r="E24" s="2">
        <v>33990731017.6814</v>
      </c>
      <c r="F24" s="2">
        <v>25837312021.747002</v>
      </c>
      <c r="G24" s="2">
        <v>59828043039.428398</v>
      </c>
      <c r="H24" s="2">
        <v>4078887722.1217599</v>
      </c>
      <c r="I24" s="2">
        <v>3100477442.6096401</v>
      </c>
    </row>
    <row r="25" spans="1:14">
      <c r="A25">
        <v>9</v>
      </c>
      <c r="B25" s="2">
        <v>2748042.5822946099</v>
      </c>
      <c r="C25" s="2">
        <v>117372854152.933</v>
      </c>
      <c r="D25" s="2">
        <v>82061193028.969299</v>
      </c>
      <c r="E25" s="2">
        <v>40157035542.102303</v>
      </c>
      <c r="F25" s="2">
        <v>29129990531.2584</v>
      </c>
      <c r="G25" s="2">
        <v>69287026073.360703</v>
      </c>
      <c r="H25" s="2">
        <v>4818844265.0522804</v>
      </c>
      <c r="I25" s="2">
        <v>3495598863.7509999</v>
      </c>
    </row>
    <row r="26" spans="1:14">
      <c r="A26">
        <v>10</v>
      </c>
      <c r="B26" s="2">
        <v>2748063.5193039002</v>
      </c>
      <c r="C26" s="2">
        <v>205068163103.01001</v>
      </c>
      <c r="D26" s="2">
        <v>124958992792.82401</v>
      </c>
      <c r="E26" s="2">
        <v>60239542360.468002</v>
      </c>
      <c r="F26" s="2">
        <v>40132550257.43</v>
      </c>
      <c r="G26" s="2">
        <v>100372092617.89799</v>
      </c>
      <c r="H26" s="2">
        <v>7228745083.2561598</v>
      </c>
      <c r="I26" s="2">
        <v>4815906030.8915997</v>
      </c>
    </row>
    <row r="28" spans="1:14" ht="51">
      <c r="A28" s="8" t="s">
        <v>0</v>
      </c>
      <c r="B28" s="8" t="s">
        <v>1</v>
      </c>
      <c r="C28" s="8" t="s">
        <v>16</v>
      </c>
      <c r="D28" s="8" t="s">
        <v>15</v>
      </c>
      <c r="E28" s="8" t="s">
        <v>14</v>
      </c>
      <c r="F28" s="8" t="s">
        <v>13</v>
      </c>
      <c r="G28" s="8" t="s">
        <v>12</v>
      </c>
      <c r="H28" s="8" t="s">
        <v>11</v>
      </c>
      <c r="I28" s="43" t="s">
        <v>127</v>
      </c>
      <c r="J28" s="8" t="s">
        <v>126</v>
      </c>
      <c r="K28" s="43" t="s">
        <v>125</v>
      </c>
      <c r="L28" s="8" t="s">
        <v>124</v>
      </c>
      <c r="M28" s="8" t="s">
        <v>123</v>
      </c>
      <c r="N28" s="8" t="s">
        <v>122</v>
      </c>
    </row>
    <row r="29" spans="1:14">
      <c r="A29">
        <v>1</v>
      </c>
      <c r="B29" s="2">
        <v>2747642.50515944</v>
      </c>
      <c r="C29" s="1">
        <v>47.9860719795413</v>
      </c>
      <c r="D29" s="1">
        <v>52.0139280204586</v>
      </c>
      <c r="E29" s="1">
        <v>38.805201679891702</v>
      </c>
      <c r="F29" s="1">
        <v>42.062433613191203</v>
      </c>
      <c r="G29" s="1">
        <v>43.485191687715101</v>
      </c>
      <c r="H29" s="1">
        <v>47.135252732605103</v>
      </c>
      <c r="I29" s="14">
        <v>4.6566242015870101</v>
      </c>
      <c r="J29" s="1">
        <v>5.2182230025258098</v>
      </c>
      <c r="K29" s="14">
        <v>5.7583286375449498</v>
      </c>
      <c r="L29" s="1">
        <v>5.0474920335829401</v>
      </c>
      <c r="M29" s="1">
        <v>5.6562303279126196</v>
      </c>
      <c r="N29" s="1">
        <v>6.2416713624550297</v>
      </c>
    </row>
    <row r="30" spans="1:14">
      <c r="A30">
        <v>2</v>
      </c>
      <c r="B30" s="2">
        <v>2748295.6540946802</v>
      </c>
      <c r="C30" s="1">
        <v>50.995229387828097</v>
      </c>
      <c r="D30" s="1">
        <v>49.004770612171797</v>
      </c>
      <c r="E30" s="1">
        <v>38.667980835992402</v>
      </c>
      <c r="F30" s="1">
        <v>37.158682364039997</v>
      </c>
      <c r="G30" s="1">
        <v>45.649703042336199</v>
      </c>
      <c r="H30" s="1">
        <v>43.8678922118429</v>
      </c>
      <c r="I30" s="14">
        <v>4.6401577003190901</v>
      </c>
      <c r="J30" s="1">
        <v>5.47796436508035</v>
      </c>
      <c r="K30" s="14">
        <v>6.11942752653938</v>
      </c>
      <c r="L30" s="1">
        <v>4.4590418836848</v>
      </c>
      <c r="M30" s="1">
        <v>5.26414706542114</v>
      </c>
      <c r="N30" s="1">
        <v>5.8805724734606102</v>
      </c>
    </row>
    <row r="31" spans="1:14">
      <c r="A31">
        <v>3</v>
      </c>
      <c r="B31" s="2">
        <v>2747874.69444041</v>
      </c>
      <c r="C31" s="1">
        <v>52.701812877131502</v>
      </c>
      <c r="D31" s="1">
        <v>47.298187122868399</v>
      </c>
      <c r="E31" s="1">
        <v>38.744899032207101</v>
      </c>
      <c r="F31" s="1">
        <v>34.772304488925201</v>
      </c>
      <c r="G31" s="1">
        <v>46.8187146960353</v>
      </c>
      <c r="H31" s="1">
        <v>42.018295152540503</v>
      </c>
      <c r="I31" s="14">
        <v>4.6493878838648497</v>
      </c>
      <c r="J31" s="1">
        <v>5.6182457635242402</v>
      </c>
      <c r="K31" s="14">
        <v>6.3242175452557801</v>
      </c>
      <c r="L31" s="1">
        <v>4.1726765386710198</v>
      </c>
      <c r="M31" s="1">
        <v>5.0421954183048596</v>
      </c>
      <c r="N31" s="1">
        <v>5.6757824547442102</v>
      </c>
    </row>
    <row r="32" spans="1:14">
      <c r="A32">
        <v>4</v>
      </c>
      <c r="B32" s="2">
        <v>2747979.4784429399</v>
      </c>
      <c r="C32" s="1">
        <v>53.581345834579601</v>
      </c>
      <c r="D32" s="1">
        <v>46.4186541654203</v>
      </c>
      <c r="E32" s="1">
        <v>38.338962263800802</v>
      </c>
      <c r="F32" s="1">
        <v>33.213854610496703</v>
      </c>
      <c r="G32" s="1">
        <v>47.271536447249801</v>
      </c>
      <c r="H32" s="1">
        <v>40.952332720184103</v>
      </c>
      <c r="I32" s="14">
        <v>4.60067547165609</v>
      </c>
      <c r="J32" s="1">
        <v>5.6725843736699799</v>
      </c>
      <c r="K32" s="14">
        <v>6.4297615001495503</v>
      </c>
      <c r="L32" s="1">
        <v>3.9856625532595999</v>
      </c>
      <c r="M32" s="1">
        <v>4.9142799264220898</v>
      </c>
      <c r="N32" s="1">
        <v>5.57023849985044</v>
      </c>
    </row>
    <row r="33" spans="1:14">
      <c r="A33">
        <v>5</v>
      </c>
      <c r="B33" s="2">
        <v>2747628.8515828899</v>
      </c>
      <c r="C33" s="1">
        <v>54.7728533758008</v>
      </c>
      <c r="D33" s="1">
        <v>45.227146624199101</v>
      </c>
      <c r="E33" s="1">
        <v>38.205836392969204</v>
      </c>
      <c r="F33" s="1">
        <v>31.547397258810701</v>
      </c>
      <c r="G33" s="1">
        <v>48.084332813362899</v>
      </c>
      <c r="H33" s="1">
        <v>39.704288464868696</v>
      </c>
      <c r="I33" s="14">
        <v>4.5847003671563096</v>
      </c>
      <c r="J33" s="1">
        <v>5.7701199376035497</v>
      </c>
      <c r="K33" s="14">
        <v>6.5727424050960996</v>
      </c>
      <c r="L33" s="1">
        <v>3.78568767105729</v>
      </c>
      <c r="M33" s="1">
        <v>4.7645146157842397</v>
      </c>
      <c r="N33" s="1">
        <v>5.4272575949038897</v>
      </c>
    </row>
    <row r="34" spans="1:14">
      <c r="A34">
        <v>6</v>
      </c>
      <c r="B34" s="2">
        <v>2748336.9317767601</v>
      </c>
      <c r="C34" s="1">
        <v>55.4835808348992</v>
      </c>
      <c r="D34" s="1">
        <v>44.5164191651008</v>
      </c>
      <c r="E34" s="1">
        <v>37.503873195248303</v>
      </c>
      <c r="F34" s="1">
        <v>30.090670327181201</v>
      </c>
      <c r="G34" s="1">
        <v>48.336776824972098</v>
      </c>
      <c r="H34" s="1">
        <v>38.782288126524797</v>
      </c>
      <c r="I34" s="14">
        <v>4.5004647834298002</v>
      </c>
      <c r="J34" s="1">
        <v>5.8004132189966597</v>
      </c>
      <c r="K34" s="14">
        <v>6.6580297001878996</v>
      </c>
      <c r="L34" s="1">
        <v>3.61088043926175</v>
      </c>
      <c r="M34" s="1">
        <v>4.6538745751829804</v>
      </c>
      <c r="N34" s="1">
        <v>5.3419702998121004</v>
      </c>
    </row>
    <row r="35" spans="1:14">
      <c r="A35">
        <v>7</v>
      </c>
      <c r="B35" s="2">
        <v>2747846.3569293302</v>
      </c>
      <c r="C35" s="1">
        <v>56.2276631050388</v>
      </c>
      <c r="D35" s="1">
        <v>43.7723368949611</v>
      </c>
      <c r="E35" s="1">
        <v>36.931265224688197</v>
      </c>
      <c r="F35" s="1">
        <v>28.750399609393401</v>
      </c>
      <c r="G35" s="1">
        <v>48.792410568978099</v>
      </c>
      <c r="H35" s="1">
        <v>37.984111652528803</v>
      </c>
      <c r="I35" s="14">
        <v>4.4317518269625804</v>
      </c>
      <c r="J35" s="1">
        <v>5.8550892682773696</v>
      </c>
      <c r="K35" s="14">
        <v>6.7473195726046598</v>
      </c>
      <c r="L35" s="1">
        <v>3.4500479531271999</v>
      </c>
      <c r="M35" s="1">
        <v>4.5580933983034599</v>
      </c>
      <c r="N35" s="1">
        <v>5.2526804273953296</v>
      </c>
    </row>
    <row r="36" spans="1:14">
      <c r="A36">
        <v>8</v>
      </c>
      <c r="B36" s="2">
        <v>2747984.4327531499</v>
      </c>
      <c r="C36" s="1">
        <v>56.814044536406598</v>
      </c>
      <c r="D36" s="1">
        <v>43.185955463593302</v>
      </c>
      <c r="E36" s="1">
        <v>35.6609041630457</v>
      </c>
      <c r="F36" s="1">
        <v>27.106857671255799</v>
      </c>
      <c r="G36" s="1">
        <v>48.842179600138799</v>
      </c>
      <c r="H36" s="1">
        <v>37.126316391799499</v>
      </c>
      <c r="I36" s="14">
        <v>4.2793084995654898</v>
      </c>
      <c r="J36" s="1">
        <v>5.8610615520166602</v>
      </c>
      <c r="K36" s="14">
        <v>6.8176853443687904</v>
      </c>
      <c r="L36" s="1">
        <v>3.2528229205507002</v>
      </c>
      <c r="M36" s="1">
        <v>4.45515796701594</v>
      </c>
      <c r="N36" s="1">
        <v>5.1823146556311901</v>
      </c>
    </row>
    <row r="37" spans="1:14">
      <c r="A37">
        <v>9</v>
      </c>
      <c r="B37" s="2">
        <v>2748042.5822946099</v>
      </c>
      <c r="C37" s="1">
        <v>57.957510688341998</v>
      </c>
      <c r="D37" s="1">
        <v>42.042489311658002</v>
      </c>
      <c r="E37" s="1">
        <v>34.213222326330097</v>
      </c>
      <c r="F37" s="1">
        <v>24.818337034986602</v>
      </c>
      <c r="G37" s="1">
        <v>48.935476148788197</v>
      </c>
      <c r="H37" s="1">
        <v>35.497888168619298</v>
      </c>
      <c r="I37" s="14">
        <v>4.1055866791596101</v>
      </c>
      <c r="J37" s="1">
        <v>5.8722571378545796</v>
      </c>
      <c r="K37" s="14">
        <v>6.9549012826010399</v>
      </c>
      <c r="L37" s="1">
        <v>2.9782004441984</v>
      </c>
      <c r="M37" s="1">
        <v>4.25974658023432</v>
      </c>
      <c r="N37" s="1">
        <v>5.0450987173989601</v>
      </c>
    </row>
    <row r="38" spans="1:14">
      <c r="A38">
        <v>10</v>
      </c>
      <c r="B38" s="2">
        <v>2748063.5193039002</v>
      </c>
      <c r="C38" s="1">
        <v>60.016226412446201</v>
      </c>
      <c r="D38" s="1">
        <v>39.9837735875536</v>
      </c>
      <c r="E38" s="1">
        <v>29.3753752161949</v>
      </c>
      <c r="F38" s="1">
        <v>19.5703465863057</v>
      </c>
      <c r="G38" s="1">
        <v>48.207448711067798</v>
      </c>
      <c r="H38" s="1">
        <v>32.116576294726997</v>
      </c>
      <c r="I38" s="14">
        <v>3.5250450259433799</v>
      </c>
      <c r="J38" s="1">
        <v>5.7848938453281296</v>
      </c>
      <c r="K38" s="14">
        <v>7.2019471694935504</v>
      </c>
      <c r="L38" s="1">
        <v>2.34844159035669</v>
      </c>
      <c r="M38" s="1">
        <v>3.8539891553672398</v>
      </c>
      <c r="N38" s="1">
        <v>4.7980528305064398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FD56-773F-394D-B79D-7324C3405722}">
  <dimension ref="A1:AB14"/>
  <sheetViews>
    <sheetView topLeftCell="G1" workbookViewId="0">
      <selection activeCell="N4" sqref="N4"/>
    </sheetView>
  </sheetViews>
  <sheetFormatPr baseColWidth="10" defaultRowHeight="16"/>
  <cols>
    <col min="1" max="1" width="10.83203125" style="7"/>
    <col min="2" max="2" width="13" bestFit="1" customWidth="1"/>
    <col min="3" max="4" width="18.6640625" bestFit="1" customWidth="1"/>
    <col min="5" max="6" width="17.6640625" bestFit="1" customWidth="1"/>
    <col min="7" max="7" width="18.6640625" bestFit="1" customWidth="1"/>
    <col min="8" max="11" width="16.6640625" bestFit="1" customWidth="1"/>
    <col min="12" max="23" width="11" bestFit="1" customWidth="1"/>
    <col min="24" max="24" width="16.6640625" bestFit="1" customWidth="1"/>
    <col min="25" max="27" width="15" bestFit="1" customWidth="1"/>
  </cols>
  <sheetData>
    <row r="1" spans="1:28" s="8" customFormat="1" ht="51">
      <c r="A1" s="8" t="s">
        <v>0</v>
      </c>
      <c r="B1" s="8" t="s">
        <v>1</v>
      </c>
      <c r="C1" s="8" t="s">
        <v>20</v>
      </c>
      <c r="D1" s="8" t="s">
        <v>75</v>
      </c>
      <c r="E1" s="8" t="s">
        <v>18</v>
      </c>
      <c r="F1" s="8" t="s">
        <v>17</v>
      </c>
      <c r="G1" s="8" t="s">
        <v>4</v>
      </c>
      <c r="H1" s="8" t="s">
        <v>148</v>
      </c>
      <c r="I1" s="8" t="s">
        <v>147</v>
      </c>
      <c r="J1" s="8" t="s">
        <v>146</v>
      </c>
      <c r="K1" s="8" t="s">
        <v>145</v>
      </c>
      <c r="L1" s="43" t="s">
        <v>144</v>
      </c>
      <c r="M1" s="43" t="s">
        <v>143</v>
      </c>
      <c r="N1" s="43" t="s">
        <v>142</v>
      </c>
      <c r="O1" s="43" t="s">
        <v>141</v>
      </c>
      <c r="P1" s="8" t="s">
        <v>140</v>
      </c>
      <c r="Q1" s="8" t="s">
        <v>139</v>
      </c>
      <c r="R1" s="8" t="s">
        <v>138</v>
      </c>
      <c r="S1" s="8" t="s">
        <v>137</v>
      </c>
      <c r="T1" s="8" t="s">
        <v>136</v>
      </c>
      <c r="U1" s="8" t="s">
        <v>135</v>
      </c>
      <c r="V1" s="8" t="s">
        <v>134</v>
      </c>
      <c r="W1" s="8" t="s">
        <v>133</v>
      </c>
      <c r="X1" s="8" t="s">
        <v>132</v>
      </c>
      <c r="Y1" s="8" t="s">
        <v>131</v>
      </c>
      <c r="Z1" s="8" t="s">
        <v>130</v>
      </c>
      <c r="AA1" s="8" t="s">
        <v>129</v>
      </c>
    </row>
    <row r="2" spans="1:28">
      <c r="A2" s="7">
        <v>1</v>
      </c>
      <c r="B2" s="2">
        <v>2747642.50515944</v>
      </c>
      <c r="C2" s="2">
        <v>32807166219.147499</v>
      </c>
      <c r="D2" s="2">
        <v>29276373226.599098</v>
      </c>
      <c r="E2" s="2">
        <v>12730887016.797501</v>
      </c>
      <c r="F2" s="2">
        <v>13799492511.298201</v>
      </c>
      <c r="G2" s="2">
        <v>26530379528.095699</v>
      </c>
      <c r="H2" s="2">
        <v>73210301.349811703</v>
      </c>
      <c r="I2" s="2">
        <v>61712897.949039899</v>
      </c>
      <c r="J2" s="2">
        <v>34967024.708207801</v>
      </c>
      <c r="K2" s="2">
        <v>169890224.00705901</v>
      </c>
      <c r="L2" s="45">
        <v>0.27594894099528999</v>
      </c>
      <c r="M2" s="45">
        <v>0.23261219419679099</v>
      </c>
      <c r="N2" s="45">
        <v>0.13179994153938701</v>
      </c>
      <c r="O2" s="45">
        <v>0.64036107673146903</v>
      </c>
      <c r="P2" s="32">
        <v>0.223153383199196</v>
      </c>
      <c r="Q2" s="32">
        <v>0.18810798085029901</v>
      </c>
      <c r="R2" s="32">
        <v>0.10658349604056799</v>
      </c>
      <c r="S2" s="32">
        <v>0.51784486009006403</v>
      </c>
      <c r="T2" s="32">
        <v>0.25006615670309901</v>
      </c>
      <c r="U2" s="32">
        <v>0.21079420415698999</v>
      </c>
      <c r="V2" s="32">
        <v>0.11943769276871501</v>
      </c>
      <c r="W2" s="32">
        <v>0.58029805362880604</v>
      </c>
      <c r="X2" s="2">
        <v>8785236.1619773991</v>
      </c>
      <c r="Y2" s="2">
        <v>7405547.7538847905</v>
      </c>
      <c r="Z2" s="2">
        <v>4196042.9649849404</v>
      </c>
      <c r="AA2" s="2">
        <v>20386826.8808471</v>
      </c>
      <c r="AB2" s="33">
        <f>AA2/$AA$12</f>
        <v>9.8937849133188607E-3</v>
      </c>
    </row>
    <row r="3" spans="1:28">
      <c r="A3" s="7">
        <v>2</v>
      </c>
      <c r="B3" s="2">
        <v>2748295.6540946802</v>
      </c>
      <c r="C3" s="2">
        <v>41822410674.936996</v>
      </c>
      <c r="D3" s="2">
        <v>35426039310.566101</v>
      </c>
      <c r="E3" s="2">
        <v>16171881744.9347</v>
      </c>
      <c r="F3" s="2">
        <v>15540656739.6842</v>
      </c>
      <c r="G3" s="2">
        <v>31712538484.6189</v>
      </c>
      <c r="H3" s="2">
        <v>129638745.142389</v>
      </c>
      <c r="I3" s="2">
        <v>117888631.371511</v>
      </c>
      <c r="J3" s="2">
        <v>44173461.526427902</v>
      </c>
      <c r="K3" s="2">
        <v>291700838.04032898</v>
      </c>
      <c r="L3" s="45">
        <v>0.40879333959741598</v>
      </c>
      <c r="M3" s="45">
        <v>0.37174139001420098</v>
      </c>
      <c r="N3" s="45">
        <v>0.13929336356297201</v>
      </c>
      <c r="O3" s="45">
        <v>0.91982809317459002</v>
      </c>
      <c r="P3" s="32">
        <v>0.30997434880069802</v>
      </c>
      <c r="Q3" s="32">
        <v>0.28187909178118697</v>
      </c>
      <c r="R3" s="32">
        <v>0.105621509648892</v>
      </c>
      <c r="S3" s="32">
        <v>0.69747495023077799</v>
      </c>
      <c r="T3" s="32">
        <v>0.36594196716685701</v>
      </c>
      <c r="U3" s="32">
        <v>0.33277395290517198</v>
      </c>
      <c r="V3" s="32">
        <v>0.124692069410234</v>
      </c>
      <c r="W3" s="32">
        <v>0.82340798948226401</v>
      </c>
      <c r="X3" s="2">
        <v>15556649.4170867</v>
      </c>
      <c r="Y3" s="2">
        <v>14146635.7645813</v>
      </c>
      <c r="Z3" s="2">
        <v>5300815.3831713498</v>
      </c>
      <c r="AA3" s="2">
        <v>35004100.5648394</v>
      </c>
      <c r="AB3" s="33">
        <f t="shared" ref="AB3:AB12" si="0">AA3/$AA$12</f>
        <v>1.6987589294637406E-2</v>
      </c>
    </row>
    <row r="4" spans="1:28">
      <c r="A4" s="7">
        <v>3</v>
      </c>
      <c r="B4" s="2">
        <v>2747874.69444041</v>
      </c>
      <c r="C4" s="2">
        <v>47728594014.963997</v>
      </c>
      <c r="D4" s="2">
        <v>39497871055.729301</v>
      </c>
      <c r="E4" s="2">
        <v>18492395560.589802</v>
      </c>
      <c r="F4" s="2">
        <v>16596332039.166201</v>
      </c>
      <c r="G4" s="2">
        <v>35088727599.755997</v>
      </c>
      <c r="H4" s="2">
        <v>192009650.98493901</v>
      </c>
      <c r="I4" s="2">
        <v>153593294.110075</v>
      </c>
      <c r="J4" s="2">
        <v>65869647.788779497</v>
      </c>
      <c r="K4" s="2">
        <v>411472592.883793</v>
      </c>
      <c r="L4" s="45">
        <v>0.54721178030483397</v>
      </c>
      <c r="M4" s="45">
        <v>0.437728309393421</v>
      </c>
      <c r="N4" s="45">
        <v>0.18772310167564299</v>
      </c>
      <c r="O4" s="45">
        <v>1.1726631913738901</v>
      </c>
      <c r="P4" s="32">
        <v>0.40229479821831599</v>
      </c>
      <c r="Q4" s="32">
        <v>0.32180561208637298</v>
      </c>
      <c r="R4" s="32">
        <v>0.13800877471506401</v>
      </c>
      <c r="S4" s="32">
        <v>0.86210918501975498</v>
      </c>
      <c r="T4" s="32">
        <v>0.48612658316197299</v>
      </c>
      <c r="U4" s="32">
        <v>0.38886474132583798</v>
      </c>
      <c r="V4" s="32">
        <v>0.16676759032364299</v>
      </c>
      <c r="W4" s="32">
        <v>1.0417589148114501</v>
      </c>
      <c r="X4" s="2">
        <v>23041158.118192598</v>
      </c>
      <c r="Y4" s="2">
        <v>18431195.293209001</v>
      </c>
      <c r="Z4" s="2">
        <v>7904357.73465354</v>
      </c>
      <c r="AA4" s="2">
        <v>49376711.146055199</v>
      </c>
      <c r="AB4" s="33">
        <f t="shared" si="0"/>
        <v>2.3962657978181909E-2</v>
      </c>
    </row>
    <row r="5" spans="1:28">
      <c r="A5" s="7">
        <v>4</v>
      </c>
      <c r="B5" s="2">
        <v>2747979.4784429399</v>
      </c>
      <c r="C5" s="2">
        <v>55228987672.520798</v>
      </c>
      <c r="D5" s="2">
        <v>44792749154.822098</v>
      </c>
      <c r="E5" s="2">
        <v>21174220742.446899</v>
      </c>
      <c r="F5" s="2">
        <v>18343675668.4002</v>
      </c>
      <c r="G5" s="2">
        <v>39517896410.847198</v>
      </c>
      <c r="H5" s="2">
        <v>280383895.35891002</v>
      </c>
      <c r="I5" s="2">
        <v>224006778.628158</v>
      </c>
      <c r="J5" s="2">
        <v>108838164.16963699</v>
      </c>
      <c r="K5" s="2">
        <v>613228838.15670705</v>
      </c>
      <c r="L5" s="45">
        <v>0.70951118562563098</v>
      </c>
      <c r="M5" s="45">
        <v>0.56684894433467703</v>
      </c>
      <c r="N5" s="45">
        <v>0.27541487289227901</v>
      </c>
      <c r="O5" s="45">
        <v>1.5517750028525801</v>
      </c>
      <c r="P5" s="32">
        <v>0.507675239353365</v>
      </c>
      <c r="Q5" s="32">
        <v>0.40559638709368001</v>
      </c>
      <c r="R5" s="32">
        <v>0.19706709964519101</v>
      </c>
      <c r="S5" s="32">
        <v>1.1103387260922299</v>
      </c>
      <c r="T5" s="32">
        <v>0.62595822013466695</v>
      </c>
      <c r="U5" s="32">
        <v>0.50009607102680598</v>
      </c>
      <c r="V5" s="32">
        <v>0.24298165712813899</v>
      </c>
      <c r="W5" s="32">
        <v>1.3690359482896099</v>
      </c>
      <c r="X5" s="2">
        <v>33646067.443069302</v>
      </c>
      <c r="Y5" s="2">
        <v>26880813.435378999</v>
      </c>
      <c r="Z5" s="2">
        <v>13060579.7003564</v>
      </c>
      <c r="AA5" s="2">
        <v>73587460.578804806</v>
      </c>
      <c r="AB5" s="33">
        <f t="shared" si="0"/>
        <v>3.5712203352647173E-2</v>
      </c>
    </row>
    <row r="6" spans="1:28">
      <c r="A6" s="7">
        <v>5</v>
      </c>
      <c r="B6" s="2">
        <v>2747628.8515828899</v>
      </c>
      <c r="C6" s="2">
        <v>62300009849.796898</v>
      </c>
      <c r="D6" s="2">
        <v>49501029635.587097</v>
      </c>
      <c r="E6" s="2">
        <v>23802239836.017101</v>
      </c>
      <c r="F6" s="2">
        <v>19654031599.593601</v>
      </c>
      <c r="G6" s="2">
        <v>43456271435.610802</v>
      </c>
      <c r="H6" s="2">
        <v>369224851.507433</v>
      </c>
      <c r="I6" s="2">
        <v>320476744.428626</v>
      </c>
      <c r="J6" s="2">
        <v>140251683.978917</v>
      </c>
      <c r="K6" s="2">
        <v>829953279.91497695</v>
      </c>
      <c r="L6" s="45">
        <v>0.84964687330461297</v>
      </c>
      <c r="M6" s="45">
        <v>0.737469492529926</v>
      </c>
      <c r="N6" s="45">
        <v>0.32274210222275501</v>
      </c>
      <c r="O6" s="45">
        <v>1.9098584680572901</v>
      </c>
      <c r="P6" s="32">
        <v>0.59265616875120997</v>
      </c>
      <c r="Q6" s="32">
        <v>0.51440881823499596</v>
      </c>
      <c r="R6" s="32">
        <v>0.22512305265610499</v>
      </c>
      <c r="S6" s="32">
        <v>1.33218803964231</v>
      </c>
      <c r="T6" s="32">
        <v>0.74589327580772302</v>
      </c>
      <c r="U6" s="32">
        <v>0.64741429983959398</v>
      </c>
      <c r="V6" s="32">
        <v>0.28333084182573798</v>
      </c>
      <c r="W6" s="32">
        <v>1.67663841747305</v>
      </c>
      <c r="X6" s="2">
        <v>44306982.180891901</v>
      </c>
      <c r="Y6" s="2">
        <v>38457209.331435204</v>
      </c>
      <c r="Z6" s="2">
        <v>16830202.077470001</v>
      </c>
      <c r="AA6" s="2">
        <v>99594393.589797303</v>
      </c>
      <c r="AB6" s="33">
        <f t="shared" si="0"/>
        <v>4.8333441712579743E-2</v>
      </c>
    </row>
    <row r="7" spans="1:28">
      <c r="A7" s="7">
        <v>6</v>
      </c>
      <c r="B7" s="2">
        <v>2748336.9317767601</v>
      </c>
      <c r="C7" s="2">
        <v>70697712578.309692</v>
      </c>
      <c r="D7" s="2">
        <v>54853430904.834999</v>
      </c>
      <c r="E7" s="2">
        <v>26514380477.310398</v>
      </c>
      <c r="F7" s="2">
        <v>21273415620.797298</v>
      </c>
      <c r="G7" s="2">
        <v>47787796098.107697</v>
      </c>
      <c r="H7" s="2">
        <v>565914052.89645898</v>
      </c>
      <c r="I7" s="2">
        <v>377309296.38787502</v>
      </c>
      <c r="J7" s="2">
        <v>193414713.33456701</v>
      </c>
      <c r="K7" s="2">
        <v>1136638062.6189001</v>
      </c>
      <c r="L7" s="45">
        <v>1.1842229587961</v>
      </c>
      <c r="M7" s="45">
        <v>0.78955157424139</v>
      </c>
      <c r="N7" s="45">
        <v>0.40473662551311101</v>
      </c>
      <c r="O7" s="45">
        <v>2.3785111585505998</v>
      </c>
      <c r="P7" s="32">
        <v>0.80047010328603296</v>
      </c>
      <c r="Q7" s="32">
        <v>0.533693782482624</v>
      </c>
      <c r="R7" s="32">
        <v>0.27357987448367199</v>
      </c>
      <c r="S7" s="32">
        <v>1.6077437602523299</v>
      </c>
      <c r="T7" s="32">
        <v>1.0316839686441099</v>
      </c>
      <c r="U7" s="32">
        <v>0.68784994878892403</v>
      </c>
      <c r="V7" s="32">
        <v>0.35260276366326399</v>
      </c>
      <c r="W7" s="32">
        <v>2.0721366810962998</v>
      </c>
      <c r="X7" s="2">
        <v>67909686.347575098</v>
      </c>
      <c r="Y7" s="2">
        <v>45277115.566545002</v>
      </c>
      <c r="Z7" s="2">
        <v>23209765.6001481</v>
      </c>
      <c r="AA7" s="2">
        <v>136396567.51426801</v>
      </c>
      <c r="AB7" s="33">
        <f t="shared" si="0"/>
        <v>6.6193641108952692E-2</v>
      </c>
    </row>
    <row r="8" spans="1:28">
      <c r="A8" s="7">
        <v>7</v>
      </c>
      <c r="B8" s="2">
        <v>2747846.3569293302</v>
      </c>
      <c r="C8" s="2">
        <v>80541995781.497406</v>
      </c>
      <c r="D8" s="2">
        <v>60962714759.237099</v>
      </c>
      <c r="E8" s="2">
        <v>29745178079.321999</v>
      </c>
      <c r="F8" s="2">
        <v>23156145640.561298</v>
      </c>
      <c r="G8" s="2">
        <v>52901323719.883301</v>
      </c>
      <c r="H8" s="2">
        <v>769257383.36976194</v>
      </c>
      <c r="I8" s="2">
        <v>477587225.23764098</v>
      </c>
      <c r="J8" s="2">
        <v>319343320.21289903</v>
      </c>
      <c r="K8" s="2">
        <v>1566187928.8203001</v>
      </c>
      <c r="L8" s="45">
        <v>1.4541363604491999</v>
      </c>
      <c r="M8" s="45">
        <v>0.90278879932476397</v>
      </c>
      <c r="N8" s="45">
        <v>0.60365846779911803</v>
      </c>
      <c r="O8" s="45">
        <v>2.9605836275730799</v>
      </c>
      <c r="P8" s="32">
        <v>0.95510097050075904</v>
      </c>
      <c r="Q8" s="32">
        <v>0.59296671333212103</v>
      </c>
      <c r="R8" s="32">
        <v>0.39649293156236898</v>
      </c>
      <c r="S8" s="32">
        <v>1.9445606153952499</v>
      </c>
      <c r="T8" s="32">
        <v>1.2618489619562101</v>
      </c>
      <c r="U8" s="32">
        <v>0.78340872305932996</v>
      </c>
      <c r="V8" s="32">
        <v>0.52383382445171001</v>
      </c>
      <c r="W8" s="32">
        <v>2.56909150946725</v>
      </c>
      <c r="X8" s="2">
        <v>92310886.004371494</v>
      </c>
      <c r="Y8" s="2">
        <v>57310467.028516904</v>
      </c>
      <c r="Z8" s="2">
        <v>38321198.425547898</v>
      </c>
      <c r="AA8" s="2">
        <v>187942551.45843601</v>
      </c>
      <c r="AB8" s="33">
        <f t="shared" si="0"/>
        <v>9.1209053329287151E-2</v>
      </c>
    </row>
    <row r="9" spans="1:28">
      <c r="A9" s="7">
        <v>8</v>
      </c>
      <c r="B9" s="2">
        <v>2747984.4327531499</v>
      </c>
      <c r="C9" s="2">
        <v>95316514865.332199</v>
      </c>
      <c r="D9" s="2">
        <v>69592985603.748001</v>
      </c>
      <c r="E9" s="2">
        <v>33990731017.6814</v>
      </c>
      <c r="F9" s="2">
        <v>25837312021.747002</v>
      </c>
      <c r="G9" s="2">
        <v>59828043039.428398</v>
      </c>
      <c r="H9" s="2">
        <v>1207378903.46699</v>
      </c>
      <c r="I9" s="2">
        <v>672596958.40017295</v>
      </c>
      <c r="J9" s="2">
        <v>501199512.93965501</v>
      </c>
      <c r="K9" s="2">
        <v>2381175374.8068299</v>
      </c>
      <c r="L9" s="45">
        <v>2.0180818929198399</v>
      </c>
      <c r="M9" s="45">
        <v>1.12421687929339</v>
      </c>
      <c r="N9" s="45">
        <v>0.837733423119573</v>
      </c>
      <c r="O9" s="45">
        <v>3.9800321953328202</v>
      </c>
      <c r="P9" s="32">
        <v>1.26670483616909</v>
      </c>
      <c r="Q9" s="32">
        <v>0.70564577329589795</v>
      </c>
      <c r="R9" s="32">
        <v>0.52582651983003603</v>
      </c>
      <c r="S9" s="32">
        <v>2.4981771292950299</v>
      </c>
      <c r="T9" s="32">
        <v>1.73491465122883</v>
      </c>
      <c r="U9" s="32">
        <v>0.966472342816039</v>
      </c>
      <c r="V9" s="32">
        <v>0.72018682427767899</v>
      </c>
      <c r="W9" s="32">
        <v>3.4215738183225501</v>
      </c>
      <c r="X9" s="2">
        <v>144885468.41603899</v>
      </c>
      <c r="Y9" s="2">
        <v>80711635.008020699</v>
      </c>
      <c r="Z9" s="2">
        <v>60143941.552758701</v>
      </c>
      <c r="AA9" s="2">
        <v>285741044.97681898</v>
      </c>
      <c r="AB9" s="33">
        <f t="shared" si="0"/>
        <v>0.13867093964306768</v>
      </c>
    </row>
    <row r="10" spans="1:28">
      <c r="A10" s="7">
        <v>9</v>
      </c>
      <c r="B10" s="2">
        <v>2748042.5822946099</v>
      </c>
      <c r="C10" s="2">
        <v>117372854152.933</v>
      </c>
      <c r="D10" s="2">
        <v>82061193028.969299</v>
      </c>
      <c r="E10" s="2">
        <v>40157035542.102303</v>
      </c>
      <c r="F10" s="2">
        <v>29129990531.2584</v>
      </c>
      <c r="G10" s="2">
        <v>69287026073.360703</v>
      </c>
      <c r="H10" s="2">
        <v>1874891792.81111</v>
      </c>
      <c r="I10" s="2">
        <v>875936426.44145405</v>
      </c>
      <c r="J10" s="2">
        <v>610654839.69481397</v>
      </c>
      <c r="K10" s="2">
        <v>3361483058.9473701</v>
      </c>
      <c r="L10" s="45">
        <v>2.7059781593540801</v>
      </c>
      <c r="M10" s="45">
        <v>1.26421420586592</v>
      </c>
      <c r="N10" s="45">
        <v>0.88134081414932797</v>
      </c>
      <c r="O10" s="45">
        <v>4.8515331793693299</v>
      </c>
      <c r="P10" s="32">
        <v>1.59738110344337</v>
      </c>
      <c r="Q10" s="32">
        <v>0.746285359389944</v>
      </c>
      <c r="R10" s="32">
        <v>0.52026922588007296</v>
      </c>
      <c r="S10" s="32">
        <v>2.86393568871339</v>
      </c>
      <c r="T10" s="32">
        <v>2.2847483976369101</v>
      </c>
      <c r="U10" s="32">
        <v>1.06741858619119</v>
      </c>
      <c r="V10" s="32">
        <v>0.74414570048870698</v>
      </c>
      <c r="W10" s="32">
        <v>4.0963126843168096</v>
      </c>
      <c r="X10" s="2">
        <v>224987015.13733301</v>
      </c>
      <c r="Y10" s="2">
        <v>105112371.17297401</v>
      </c>
      <c r="Z10" s="2">
        <v>73278580.763377696</v>
      </c>
      <c r="AA10" s="2">
        <v>403377967.07368499</v>
      </c>
      <c r="AB10" s="33">
        <f t="shared" si="0"/>
        <v>0.19576047161847621</v>
      </c>
    </row>
    <row r="11" spans="1:28">
      <c r="A11" s="7">
        <v>10</v>
      </c>
      <c r="B11" s="2">
        <v>2748063.5193039002</v>
      </c>
      <c r="C11" s="2">
        <v>205068163103.01001</v>
      </c>
      <c r="D11" s="2">
        <v>124958992792.82401</v>
      </c>
      <c r="E11" s="2">
        <v>60239542360.468002</v>
      </c>
      <c r="F11" s="2">
        <v>40132550257.43</v>
      </c>
      <c r="G11" s="2">
        <v>100372092617.89799</v>
      </c>
      <c r="H11" s="2">
        <v>3388003188.5553999</v>
      </c>
      <c r="I11" s="2">
        <v>1423730211.27795</v>
      </c>
      <c r="J11" s="2">
        <v>1597945068.6734099</v>
      </c>
      <c r="K11" s="2">
        <v>6409678468.5067701</v>
      </c>
      <c r="L11" s="45">
        <v>3.3754434127950601</v>
      </c>
      <c r="M11" s="45">
        <v>1.41845225514814</v>
      </c>
      <c r="N11" s="45">
        <v>1.59202127503364</v>
      </c>
      <c r="O11" s="45">
        <v>6.3859169429768396</v>
      </c>
      <c r="P11" s="32">
        <v>1.6521351424274999</v>
      </c>
      <c r="Q11" s="32">
        <v>0.69427169470610794</v>
      </c>
      <c r="R11" s="32">
        <v>0.77922630431459206</v>
      </c>
      <c r="S11" s="32">
        <v>3.1256331414481999</v>
      </c>
      <c r="T11" s="32">
        <v>2.7112920109499599</v>
      </c>
      <c r="U11" s="32">
        <v>1.13935794412045</v>
      </c>
      <c r="V11" s="32">
        <v>1.27877556705559</v>
      </c>
      <c r="W11" s="32">
        <v>5.1294255221260103</v>
      </c>
      <c r="X11" s="2">
        <v>406560382.626647</v>
      </c>
      <c r="Y11" s="2">
        <v>170847625.35335499</v>
      </c>
      <c r="Z11" s="2">
        <v>191753408.24080899</v>
      </c>
      <c r="AA11" s="2">
        <v>769161416.22081196</v>
      </c>
      <c r="AB11" s="33">
        <f t="shared" si="0"/>
        <v>0.37327621704885128</v>
      </c>
    </row>
    <row r="12" spans="1:28">
      <c r="A12" s="20" t="s">
        <v>74</v>
      </c>
      <c r="B12" s="5">
        <f t="shared" ref="B12:Z12" si="1">SUM(B2:B11)</f>
        <v>27479695.00677811</v>
      </c>
      <c r="C12" s="5">
        <f t="shared" si="1"/>
        <v>808884408912.44861</v>
      </c>
      <c r="D12" s="5">
        <f t="shared" si="1"/>
        <v>590923379472.91711</v>
      </c>
      <c r="E12" s="5">
        <f t="shared" si="1"/>
        <v>283018492377.6701</v>
      </c>
      <c r="F12" s="5">
        <f t="shared" si="1"/>
        <v>223463602629.93637</v>
      </c>
      <c r="G12" s="5">
        <f t="shared" si="1"/>
        <v>506482095007.60669</v>
      </c>
      <c r="H12" s="5">
        <f t="shared" si="1"/>
        <v>8849912765.443203</v>
      </c>
      <c r="I12" s="5">
        <f t="shared" si="1"/>
        <v>4704838464.2325029</v>
      </c>
      <c r="J12" s="5">
        <f t="shared" si="1"/>
        <v>3616657437.0273142</v>
      </c>
      <c r="K12" s="5">
        <f t="shared" si="1"/>
        <v>17171408666.703037</v>
      </c>
      <c r="L12" s="46">
        <f t="shared" si="1"/>
        <v>13.528974904142064</v>
      </c>
      <c r="M12" s="46">
        <f t="shared" si="1"/>
        <v>7.8456240443426202</v>
      </c>
      <c r="N12" s="46">
        <f t="shared" si="1"/>
        <v>5.3764639875078064</v>
      </c>
      <c r="O12" s="46">
        <f t="shared" si="1"/>
        <v>26.751062935992486</v>
      </c>
      <c r="P12" s="44">
        <f t="shared" si="1"/>
        <v>8.3075460941495365</v>
      </c>
      <c r="Q12" s="44">
        <f t="shared" si="1"/>
        <v>4.9846612132532302</v>
      </c>
      <c r="R12" s="44">
        <f t="shared" si="1"/>
        <v>3.2677987887765623</v>
      </c>
      <c r="S12" s="44">
        <f t="shared" si="1"/>
        <v>16.560006096179336</v>
      </c>
      <c r="T12" s="44">
        <f t="shared" si="1"/>
        <v>11.498474193390338</v>
      </c>
      <c r="U12" s="44">
        <f t="shared" si="1"/>
        <v>6.7244508142303321</v>
      </c>
      <c r="V12" s="44">
        <f t="shared" si="1"/>
        <v>4.5567545313934188</v>
      </c>
      <c r="W12" s="44">
        <f t="shared" si="1"/>
        <v>22.779679539014101</v>
      </c>
      <c r="X12" s="5">
        <f t="shared" si="1"/>
        <v>1061989531.8531835</v>
      </c>
      <c r="Y12" s="5">
        <f t="shared" si="1"/>
        <v>564580615.70790088</v>
      </c>
      <c r="Z12" s="5">
        <f t="shared" si="1"/>
        <v>433998892.4432776</v>
      </c>
      <c r="AA12" s="5">
        <f>SUM(AA2:AA11)</f>
        <v>2060569040.0043635</v>
      </c>
      <c r="AB12" s="33">
        <f t="shared" si="0"/>
        <v>1</v>
      </c>
    </row>
    <row r="14" spans="1:28">
      <c r="K14" s="28">
        <f>K12/G12</f>
        <v>3.3903288657114609E-2</v>
      </c>
      <c r="L14" s="33">
        <f>H12/G12</f>
        <v>1.7473298370617205E-2</v>
      </c>
      <c r="X14" s="3">
        <f>H12*12%</f>
        <v>1061989531.8531843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1F9D-EB5B-1C46-BEE0-9C566D64DA42}">
  <dimension ref="A1:U24"/>
  <sheetViews>
    <sheetView zoomScale="120" zoomScaleNormal="120" workbookViewId="0">
      <selection activeCell="E26" sqref="E26"/>
    </sheetView>
  </sheetViews>
  <sheetFormatPr baseColWidth="10" defaultRowHeight="16"/>
  <cols>
    <col min="2" max="2" width="13" bestFit="1" customWidth="1"/>
    <col min="3" max="4" width="17.6640625" bestFit="1" customWidth="1"/>
    <col min="5" max="5" width="18.6640625" bestFit="1" customWidth="1"/>
    <col min="6" max="6" width="12.6640625" customWidth="1"/>
    <col min="7" max="7" width="16" bestFit="1" customWidth="1"/>
    <col min="8" max="10" width="16.6640625" bestFit="1" customWidth="1"/>
    <col min="11" max="11" width="15" bestFit="1" customWidth="1"/>
    <col min="12" max="13" width="16.6640625" bestFit="1" customWidth="1"/>
    <col min="14" max="21" width="11" bestFit="1" customWidth="1"/>
  </cols>
  <sheetData>
    <row r="1" spans="1:21" s="8" customFormat="1" ht="6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66</v>
      </c>
      <c r="G1" s="8" t="s">
        <v>65</v>
      </c>
      <c r="H1" s="8" t="s">
        <v>64</v>
      </c>
      <c r="I1" s="8" t="s">
        <v>63</v>
      </c>
      <c r="J1" s="8" t="s">
        <v>62</v>
      </c>
      <c r="K1" s="8" t="s">
        <v>61</v>
      </c>
      <c r="L1" s="8" t="s">
        <v>60</v>
      </c>
      <c r="M1" s="8" t="s">
        <v>59</v>
      </c>
      <c r="N1" s="8" t="s">
        <v>58</v>
      </c>
      <c r="O1" s="8" t="s">
        <v>57</v>
      </c>
      <c r="P1" s="8" t="s">
        <v>56</v>
      </c>
      <c r="Q1" s="8" t="s">
        <v>55</v>
      </c>
      <c r="R1" s="8" t="s">
        <v>54</v>
      </c>
      <c r="S1" s="8" t="s">
        <v>53</v>
      </c>
      <c r="T1" s="8" t="s">
        <v>52</v>
      </c>
      <c r="U1" s="8" t="s">
        <v>51</v>
      </c>
    </row>
    <row r="2" spans="1:21">
      <c r="A2" s="31">
        <v>1</v>
      </c>
      <c r="B2" s="2">
        <v>2747642.50515944</v>
      </c>
      <c r="C2" s="2">
        <v>12730887016.797501</v>
      </c>
      <c r="D2" s="2">
        <v>13799492511.298201</v>
      </c>
      <c r="E2" s="2">
        <v>26530379528.095699</v>
      </c>
      <c r="F2" s="2">
        <v>11749966829.580099</v>
      </c>
      <c r="G2" s="2">
        <v>324642487.77311498</v>
      </c>
      <c r="H2" s="2">
        <v>682368.05463735096</v>
      </c>
      <c r="I2" s="2">
        <v>146439152.57548499</v>
      </c>
      <c r="J2" s="2">
        <v>740245419.25953496</v>
      </c>
      <c r="K2" s="2">
        <v>18722509.991712101</v>
      </c>
      <c r="L2" s="2">
        <v>706737356.34813797</v>
      </c>
      <c r="M2" s="2">
        <v>112056387.715506</v>
      </c>
      <c r="N2" s="2">
        <v>44.288724995949799</v>
      </c>
      <c r="O2" s="2">
        <v>1.22366318743882</v>
      </c>
      <c r="P2" s="2">
        <v>2.5720252283414199E-3</v>
      </c>
      <c r="Q2" s="2">
        <v>0.55196780136675305</v>
      </c>
      <c r="R2" s="2">
        <v>2.79018028549351</v>
      </c>
      <c r="S2" s="2">
        <v>7.0570079752854301E-2</v>
      </c>
      <c r="T2" s="2">
        <v>2.6638795558868602</v>
      </c>
      <c r="U2" s="2">
        <v>0.42237008934168402</v>
      </c>
    </row>
    <row r="3" spans="1:21">
      <c r="A3" s="31">
        <v>2</v>
      </c>
      <c r="B3" s="2">
        <v>2748295.6540946802</v>
      </c>
      <c r="C3" s="2">
        <v>16171881744.9347</v>
      </c>
      <c r="D3" s="2">
        <v>15540656739.6842</v>
      </c>
      <c r="E3" s="2">
        <v>31712538484.6189</v>
      </c>
      <c r="F3" s="2">
        <v>12573505641.1355</v>
      </c>
      <c r="G3" s="2">
        <v>559856734.88656294</v>
      </c>
      <c r="H3" s="2">
        <v>3514494.1785079702</v>
      </c>
      <c r="I3" s="2">
        <v>245559719.78979</v>
      </c>
      <c r="J3" s="2">
        <v>973711952.95135903</v>
      </c>
      <c r="K3" s="2">
        <v>21590797.297966398</v>
      </c>
      <c r="L3" s="2">
        <v>911750214.78615296</v>
      </c>
      <c r="M3" s="2">
        <v>251167184.65831101</v>
      </c>
      <c r="N3" s="2">
        <v>39.648373299519598</v>
      </c>
      <c r="O3" s="2">
        <v>1.76541129042098</v>
      </c>
      <c r="P3" s="2">
        <v>1.1082348958638299E-2</v>
      </c>
      <c r="Q3" s="2">
        <v>0.774330064775136</v>
      </c>
      <c r="R3" s="2">
        <v>3.0704320734955401</v>
      </c>
      <c r="S3" s="2">
        <v>6.8082841455401805E-2</v>
      </c>
      <c r="T3" s="2">
        <v>2.87504645907915</v>
      </c>
      <c r="U3" s="2">
        <v>0.79201223446723001</v>
      </c>
    </row>
    <row r="4" spans="1:21">
      <c r="A4" s="31">
        <v>3</v>
      </c>
      <c r="B4" s="2">
        <v>2747874.69444041</v>
      </c>
      <c r="C4" s="2">
        <v>18492395560.589802</v>
      </c>
      <c r="D4" s="2">
        <v>16596332039.166201</v>
      </c>
      <c r="E4" s="2">
        <v>35088727599.755997</v>
      </c>
      <c r="F4" s="2">
        <v>12873701452.5397</v>
      </c>
      <c r="G4" s="2">
        <v>853851002.40004396</v>
      </c>
      <c r="H4" s="2">
        <v>6545345.8693788797</v>
      </c>
      <c r="I4" s="2">
        <v>297040768.76151502</v>
      </c>
      <c r="J4" s="2">
        <v>1176231165.2918501</v>
      </c>
      <c r="K4" s="2">
        <v>23549384.297754198</v>
      </c>
      <c r="L4" s="2">
        <v>990002976.11519504</v>
      </c>
      <c r="M4" s="2">
        <v>375409943.89073801</v>
      </c>
      <c r="N4" s="2">
        <v>36.688994823024601</v>
      </c>
      <c r="O4" s="2">
        <v>2.4334054290585798</v>
      </c>
      <c r="P4" s="2">
        <v>1.8653699683953098E-2</v>
      </c>
      <c r="Q4" s="2">
        <v>0.84654186424126798</v>
      </c>
      <c r="R4" s="2">
        <v>3.3521624913524302</v>
      </c>
      <c r="S4" s="2">
        <v>6.7113816626163197E-2</v>
      </c>
      <c r="T4" s="2">
        <v>2.82142740371718</v>
      </c>
      <c r="U4" s="2">
        <v>1.06988759516417</v>
      </c>
    </row>
    <row r="5" spans="1:21">
      <c r="A5" s="31">
        <v>4</v>
      </c>
      <c r="B5" s="2">
        <v>2747979.4784429399</v>
      </c>
      <c r="C5" s="2">
        <v>21174220742.446899</v>
      </c>
      <c r="D5" s="2">
        <v>18343675668.4002</v>
      </c>
      <c r="E5" s="2">
        <v>39517896410.847198</v>
      </c>
      <c r="F5" s="2">
        <v>13497522993.0415</v>
      </c>
      <c r="G5" s="2">
        <v>1166557382.73967</v>
      </c>
      <c r="H5" s="2">
        <v>20404872.510134902</v>
      </c>
      <c r="I5" s="2">
        <v>446415780.096394</v>
      </c>
      <c r="J5" s="2">
        <v>1431421145.7681899</v>
      </c>
      <c r="K5" s="2">
        <v>28546724.8645088</v>
      </c>
      <c r="L5" s="2">
        <v>1167293454.20645</v>
      </c>
      <c r="M5" s="2">
        <v>585513315.17335296</v>
      </c>
      <c r="N5" s="2">
        <v>34.155469341573003</v>
      </c>
      <c r="O5" s="2">
        <v>2.95197236869994</v>
      </c>
      <c r="P5" s="2">
        <v>5.1634510850466303E-2</v>
      </c>
      <c r="Q5" s="2">
        <v>1.1296547150567899</v>
      </c>
      <c r="R5" s="2">
        <v>3.6222098739428001</v>
      </c>
      <c r="S5" s="2">
        <v>7.2237460637386203E-2</v>
      </c>
      <c r="T5" s="2">
        <v>2.9538349968599098</v>
      </c>
      <c r="U5" s="2">
        <v>1.4816408978</v>
      </c>
    </row>
    <row r="6" spans="1:21">
      <c r="A6" s="31">
        <v>5</v>
      </c>
      <c r="B6" s="2">
        <v>2747628.8515828899</v>
      </c>
      <c r="C6" s="2">
        <v>23802239836.017101</v>
      </c>
      <c r="D6" s="2">
        <v>19654031599.593601</v>
      </c>
      <c r="E6" s="2">
        <v>43456271435.610802</v>
      </c>
      <c r="F6" s="2">
        <v>13949885494.784401</v>
      </c>
      <c r="G6" s="2">
        <v>1432332224.02545</v>
      </c>
      <c r="H6" s="2">
        <v>29284980.175714001</v>
      </c>
      <c r="I6" s="2">
        <v>586394502.75655198</v>
      </c>
      <c r="J6" s="2">
        <v>1591829923.7634201</v>
      </c>
      <c r="K6" s="2">
        <v>35019412.1843872</v>
      </c>
      <c r="L6" s="2">
        <v>1258789933.1478701</v>
      </c>
      <c r="M6" s="2">
        <v>770495128.75581396</v>
      </c>
      <c r="N6" s="2">
        <v>32.100971928652399</v>
      </c>
      <c r="O6" s="2">
        <v>3.2960311059998402</v>
      </c>
      <c r="P6" s="2">
        <v>6.7389537132990299E-2</v>
      </c>
      <c r="Q6" s="2">
        <v>1.3493898196613801</v>
      </c>
      <c r="R6" s="2">
        <v>3.6630614435526101</v>
      </c>
      <c r="S6" s="2">
        <v>8.0585404655057702E-2</v>
      </c>
      <c r="T6" s="2">
        <v>2.8966818633140798</v>
      </c>
      <c r="U6" s="2">
        <v>1.7730355212307001</v>
      </c>
    </row>
    <row r="7" spans="1:21">
      <c r="A7" s="31">
        <v>6</v>
      </c>
      <c r="B7" s="2">
        <v>2748336.9317767601</v>
      </c>
      <c r="C7" s="2">
        <v>26514380477.310398</v>
      </c>
      <c r="D7" s="2">
        <v>21273415620.797298</v>
      </c>
      <c r="E7" s="2">
        <v>47787796098.107697</v>
      </c>
      <c r="F7" s="2">
        <v>14397728035.304501</v>
      </c>
      <c r="G7" s="2">
        <v>1697884778.90223</v>
      </c>
      <c r="H7" s="2">
        <v>63180521.006016403</v>
      </c>
      <c r="I7" s="2">
        <v>683776655.87726998</v>
      </c>
      <c r="J7" s="2">
        <v>1798324006.6226399</v>
      </c>
      <c r="K7" s="2">
        <v>41077150.383075602</v>
      </c>
      <c r="L7" s="2">
        <v>1510439607.86689</v>
      </c>
      <c r="M7" s="2">
        <v>1081004864.8346601</v>
      </c>
      <c r="N7" s="2">
        <v>30.1284620988718</v>
      </c>
      <c r="O7" s="2">
        <v>3.5529673212309199</v>
      </c>
      <c r="P7" s="2">
        <v>0.13221057710279699</v>
      </c>
      <c r="Q7" s="2">
        <v>1.4308604114604599</v>
      </c>
      <c r="R7" s="2">
        <v>3.76314488939961</v>
      </c>
      <c r="S7" s="2">
        <v>8.5957406988898893E-2</v>
      </c>
      <c r="T7" s="2">
        <v>3.1607224672298799</v>
      </c>
      <c r="U7" s="2">
        <v>2.2620939928164301</v>
      </c>
    </row>
    <row r="8" spans="1:21">
      <c r="A8" s="31">
        <v>7</v>
      </c>
      <c r="B8" s="2">
        <v>2747846.3569293302</v>
      </c>
      <c r="C8" s="2">
        <v>29745178079.321999</v>
      </c>
      <c r="D8" s="2">
        <v>23156145640.561298</v>
      </c>
      <c r="E8" s="2">
        <v>52901323719.883301</v>
      </c>
      <c r="F8" s="2">
        <v>14812993847.139601</v>
      </c>
      <c r="G8" s="2">
        <v>2100061391.49822</v>
      </c>
      <c r="H8" s="2">
        <v>98781256.271991506</v>
      </c>
      <c r="I8" s="2">
        <v>940093141.09905696</v>
      </c>
      <c r="J8" s="2">
        <v>2005128937.83179</v>
      </c>
      <c r="K8" s="2">
        <v>43262154.6866671</v>
      </c>
      <c r="L8" s="2">
        <v>1698897899.0378699</v>
      </c>
      <c r="M8" s="2">
        <v>1456927012.9960101</v>
      </c>
      <c r="N8" s="2">
        <v>28.0011780528889</v>
      </c>
      <c r="O8" s="2">
        <v>3.9697709694718002</v>
      </c>
      <c r="P8" s="2">
        <v>0.18672738095372801</v>
      </c>
      <c r="Q8" s="2">
        <v>1.7770692205679399</v>
      </c>
      <c r="R8" s="2">
        <v>3.7903190257565398</v>
      </c>
      <c r="S8" s="2">
        <v>8.1778964389896305E-2</v>
      </c>
      <c r="T8" s="2">
        <v>3.2114468591252501</v>
      </c>
      <c r="U8" s="2">
        <v>2.7540464218070499</v>
      </c>
    </row>
    <row r="9" spans="1:21">
      <c r="A9" s="31">
        <v>8</v>
      </c>
      <c r="B9" s="2">
        <v>2747984.4327531499</v>
      </c>
      <c r="C9" s="2">
        <v>33990731017.6814</v>
      </c>
      <c r="D9" s="2">
        <v>25837312021.747002</v>
      </c>
      <c r="E9" s="2">
        <v>59828043039.428398</v>
      </c>
      <c r="F9" s="2">
        <v>15354359285.5842</v>
      </c>
      <c r="G9" s="2">
        <v>2331764546.6370301</v>
      </c>
      <c r="H9" s="2">
        <v>259129992.405334</v>
      </c>
      <c r="I9" s="2">
        <v>1331883811.2451601</v>
      </c>
      <c r="J9" s="2">
        <v>2229614217.6897001</v>
      </c>
      <c r="K9" s="2">
        <v>56873922.294415303</v>
      </c>
      <c r="L9" s="2">
        <v>2272578925.0672698</v>
      </c>
      <c r="M9" s="2">
        <v>2001107320.8238399</v>
      </c>
      <c r="N9" s="2">
        <v>25.664150965902799</v>
      </c>
      <c r="O9" s="2">
        <v>3.8974441218148002</v>
      </c>
      <c r="P9" s="2">
        <v>0.433124633935561</v>
      </c>
      <c r="Q9" s="2">
        <v>2.2261864897827399</v>
      </c>
      <c r="R9" s="2">
        <v>3.7267042417220999</v>
      </c>
      <c r="S9" s="2">
        <v>9.5062314267798695E-2</v>
      </c>
      <c r="T9" s="2">
        <v>3.7985179016628901</v>
      </c>
      <c r="U9" s="2">
        <v>3.34476479450456</v>
      </c>
    </row>
    <row r="10" spans="1:21">
      <c r="A10" s="31">
        <v>9</v>
      </c>
      <c r="B10" s="2">
        <v>2748042.5822946099</v>
      </c>
      <c r="C10" s="2">
        <v>40157035542.102303</v>
      </c>
      <c r="D10" s="2">
        <v>29129990531.2584</v>
      </c>
      <c r="E10" s="2">
        <v>69287026073.360703</v>
      </c>
      <c r="F10" s="2">
        <v>15656353582.4806</v>
      </c>
      <c r="G10" s="2">
        <v>2987524587.9570498</v>
      </c>
      <c r="H10" s="2">
        <v>588308177.40277696</v>
      </c>
      <c r="I10" s="2">
        <v>1659423366.5900199</v>
      </c>
      <c r="J10" s="2">
        <v>2290156689.4618702</v>
      </c>
      <c r="K10" s="2">
        <v>73316810.959874198</v>
      </c>
      <c r="L10" s="2">
        <v>2926009636.4663601</v>
      </c>
      <c r="M10" s="2">
        <v>2948897679.9398398</v>
      </c>
      <c r="N10" s="2">
        <v>22.596371167531</v>
      </c>
      <c r="O10" s="2">
        <v>4.31180952231069</v>
      </c>
      <c r="P10" s="2">
        <v>0.84908851013446596</v>
      </c>
      <c r="Q10" s="2">
        <v>2.3949986897013398</v>
      </c>
      <c r="R10" s="2">
        <v>3.3053182092662898</v>
      </c>
      <c r="S10" s="2">
        <v>0.105816074256451</v>
      </c>
      <c r="T10" s="2">
        <v>4.22302673716767</v>
      </c>
      <c r="U10" s="2">
        <v>4.25606040129008</v>
      </c>
    </row>
    <row r="11" spans="1:21">
      <c r="A11" s="31">
        <v>10</v>
      </c>
      <c r="B11" s="2">
        <v>2748063.5193039002</v>
      </c>
      <c r="C11" s="2">
        <v>60239542360.468002</v>
      </c>
      <c r="D11" s="2">
        <v>40132550257.43</v>
      </c>
      <c r="E11" s="2">
        <v>100372092617.89799</v>
      </c>
      <c r="F11" s="2">
        <v>16542862951.057899</v>
      </c>
      <c r="G11" s="2">
        <v>4254509844.3133798</v>
      </c>
      <c r="H11" s="2">
        <v>3164214992.7171102</v>
      </c>
      <c r="I11" s="2">
        <v>3337260493.5719199</v>
      </c>
      <c r="J11" s="2">
        <v>2376970075.4717598</v>
      </c>
      <c r="K11" s="2">
        <v>114666989.84030101</v>
      </c>
      <c r="L11" s="2">
        <v>5048127232.1395798</v>
      </c>
      <c r="M11" s="2">
        <v>5293937678.3180199</v>
      </c>
      <c r="N11" s="2">
        <v>16.481536370905602</v>
      </c>
      <c r="O11" s="2">
        <v>4.23873781381611</v>
      </c>
      <c r="P11" s="2">
        <v>3.1524848293866001</v>
      </c>
      <c r="Q11" s="2">
        <v>3.32488882769076</v>
      </c>
      <c r="R11" s="2">
        <v>2.3681583331340299</v>
      </c>
      <c r="S11" s="2">
        <v>0.114241904148419</v>
      </c>
      <c r="T11" s="2">
        <v>5.0294131570585696</v>
      </c>
      <c r="U11" s="2">
        <v>5.2743123514135197</v>
      </c>
    </row>
    <row r="12" spans="1:21" s="4" customFormat="1">
      <c r="A12" s="39" t="s">
        <v>74</v>
      </c>
      <c r="B12" s="5">
        <f>SUM(B2:B11)</f>
        <v>27479695.00677811</v>
      </c>
      <c r="C12" s="5">
        <f t="shared" ref="C12:M12" si="0">SUM(C2:C11)</f>
        <v>283018492377.6701</v>
      </c>
      <c r="D12" s="5">
        <f t="shared" si="0"/>
        <v>223463602629.93637</v>
      </c>
      <c r="E12" s="5">
        <f t="shared" si="0"/>
        <v>506482095007.60669</v>
      </c>
      <c r="F12" s="5">
        <f t="shared" si="0"/>
        <v>141408880112.64801</v>
      </c>
      <c r="G12" s="5">
        <f t="shared" si="0"/>
        <v>17708984981.132751</v>
      </c>
      <c r="H12" s="5">
        <f t="shared" si="0"/>
        <v>4234047000.5916023</v>
      </c>
      <c r="I12" s="5">
        <f t="shared" si="0"/>
        <v>9674287392.363163</v>
      </c>
      <c r="J12" s="5">
        <f t="shared" si="0"/>
        <v>16613633534.112116</v>
      </c>
      <c r="K12" s="5">
        <f t="shared" si="0"/>
        <v>456625856.80066192</v>
      </c>
      <c r="L12" s="5">
        <f t="shared" si="0"/>
        <v>18490627235.181778</v>
      </c>
      <c r="M12" s="5">
        <f t="shared" si="0"/>
        <v>14876516517.106092</v>
      </c>
    </row>
    <row r="13" spans="1:21">
      <c r="D13" s="6">
        <f>D12/E12</f>
        <v>0.44120730985876261</v>
      </c>
      <c r="E13" s="6"/>
      <c r="F13" s="6">
        <f>F12/$D$12</f>
        <v>0.63280497785058143</v>
      </c>
      <c r="G13" s="6">
        <f t="shared" ref="G13:M13" si="1">G12/$D$12</f>
        <v>7.9247737764522916E-2</v>
      </c>
      <c r="H13" s="6">
        <f t="shared" si="1"/>
        <v>1.8947367494129834E-2</v>
      </c>
      <c r="I13" s="6">
        <f t="shared" si="1"/>
        <v>4.329245245537424E-2</v>
      </c>
      <c r="J13" s="6">
        <f t="shared" si="1"/>
        <v>7.4346038185130664E-2</v>
      </c>
      <c r="K13" s="28">
        <f t="shared" si="1"/>
        <v>2.043401482060819E-3</v>
      </c>
      <c r="L13" s="6">
        <f t="shared" si="1"/>
        <v>8.2745588174387888E-2</v>
      </c>
      <c r="M13" s="6">
        <f t="shared" si="1"/>
        <v>6.6572436593811346E-2</v>
      </c>
    </row>
    <row r="16" spans="1:21">
      <c r="C16" s="40" t="s">
        <v>112</v>
      </c>
      <c r="D16" s="33">
        <v>0.63280497785058143</v>
      </c>
      <c r="E16" s="2">
        <v>141408880112.64801</v>
      </c>
    </row>
    <row r="17" spans="3:5">
      <c r="C17" s="40" t="s">
        <v>108</v>
      </c>
      <c r="D17" s="33">
        <v>8.2745588174387888E-2</v>
      </c>
      <c r="E17" s="2">
        <v>18490627235.181778</v>
      </c>
    </row>
    <row r="18" spans="3:5">
      <c r="C18" s="40" t="s">
        <v>111</v>
      </c>
      <c r="D18" s="33">
        <v>7.9247737764522916E-2</v>
      </c>
      <c r="E18" s="2">
        <v>17708984981.132751</v>
      </c>
    </row>
    <row r="19" spans="3:5">
      <c r="C19" s="40" t="s">
        <v>107</v>
      </c>
      <c r="D19" s="33">
        <v>7.4346038185130664E-2</v>
      </c>
      <c r="E19" s="2">
        <v>16613633534.112116</v>
      </c>
    </row>
    <row r="20" spans="3:5">
      <c r="C20" s="40" t="s">
        <v>113</v>
      </c>
      <c r="D20" s="33">
        <v>6.6572436593811346E-2</v>
      </c>
      <c r="E20" s="2">
        <v>14876516517.106092</v>
      </c>
    </row>
    <row r="21" spans="3:5">
      <c r="C21" s="40" t="s">
        <v>106</v>
      </c>
      <c r="D21" s="33">
        <v>4.329245245537424E-2</v>
      </c>
      <c r="E21" s="2">
        <v>9674287392.363163</v>
      </c>
    </row>
    <row r="22" spans="3:5">
      <c r="C22" s="40" t="s">
        <v>110</v>
      </c>
      <c r="D22" s="33">
        <v>1.8947367494129834E-2</v>
      </c>
      <c r="E22" s="2">
        <v>4234047000.5916023</v>
      </c>
    </row>
    <row r="23" spans="3:5">
      <c r="C23" s="40" t="s">
        <v>109</v>
      </c>
      <c r="D23" s="33">
        <v>2.043401482060819E-3</v>
      </c>
      <c r="E23" s="2">
        <v>456625856.80066192</v>
      </c>
    </row>
    <row r="24" spans="3:5">
      <c r="E24" s="40"/>
    </row>
  </sheetData>
  <sortState xmlns:xlrd2="http://schemas.microsoft.com/office/spreadsheetml/2017/richdata2" ref="C16:E23">
    <sortCondition descending="1" ref="D16:D23"/>
  </sortState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9825-5205-FE4C-B220-F0E805A976AA}">
  <dimension ref="A1:O24"/>
  <sheetViews>
    <sheetView zoomScale="110" zoomScaleNormal="110" workbookViewId="0">
      <selection activeCell="L23" sqref="L22:L23"/>
    </sheetView>
  </sheetViews>
  <sheetFormatPr baseColWidth="10" defaultRowHeight="16"/>
  <cols>
    <col min="2" max="2" width="13" bestFit="1" customWidth="1"/>
    <col min="3" max="4" width="18.6640625" bestFit="1" customWidth="1"/>
    <col min="5" max="6" width="17.6640625" bestFit="1" customWidth="1"/>
    <col min="7" max="7" width="18.6640625" bestFit="1" customWidth="1"/>
    <col min="8" max="15" width="11" bestFit="1" customWidth="1"/>
  </cols>
  <sheetData>
    <row r="1" spans="1:15" s="8" customFormat="1" ht="34">
      <c r="A1" s="8" t="s">
        <v>0</v>
      </c>
      <c r="B1" s="8" t="s">
        <v>1</v>
      </c>
      <c r="C1" s="8" t="s">
        <v>20</v>
      </c>
      <c r="D1" s="8" t="s">
        <v>19</v>
      </c>
      <c r="E1" s="8" t="s">
        <v>18</v>
      </c>
      <c r="F1" s="8" t="s">
        <v>17</v>
      </c>
      <c r="G1" s="8" t="s">
        <v>4</v>
      </c>
      <c r="H1" s="8" t="s">
        <v>16</v>
      </c>
      <c r="I1" s="8" t="s">
        <v>15</v>
      </c>
      <c r="J1" s="8" t="s">
        <v>14</v>
      </c>
      <c r="K1" s="8" t="s">
        <v>13</v>
      </c>
      <c r="L1" s="8" t="s">
        <v>12</v>
      </c>
      <c r="M1" s="8" t="s">
        <v>11</v>
      </c>
      <c r="N1" s="8" t="s">
        <v>22</v>
      </c>
      <c r="O1" s="8" t="s">
        <v>21</v>
      </c>
    </row>
    <row r="2" spans="1:15">
      <c r="A2">
        <v>1</v>
      </c>
      <c r="B2" s="32">
        <v>2747642.50515944</v>
      </c>
      <c r="C2" s="32">
        <v>32807166219.147499</v>
      </c>
      <c r="D2" s="32">
        <v>29276373226.599098</v>
      </c>
      <c r="E2" s="32">
        <v>12730887016.797501</v>
      </c>
      <c r="F2" s="32">
        <v>13799492511.298201</v>
      </c>
      <c r="G2" s="32">
        <v>26530379528.095699</v>
      </c>
      <c r="H2" s="1">
        <v>47.9860719795413</v>
      </c>
      <c r="I2" s="1">
        <v>52.0139280204586</v>
      </c>
      <c r="J2" s="1">
        <v>38.805201679891702</v>
      </c>
      <c r="K2" s="1">
        <v>42.062433613191203</v>
      </c>
      <c r="L2" s="1">
        <v>43.485191687715101</v>
      </c>
      <c r="M2" s="1">
        <v>47.135252732605103</v>
      </c>
      <c r="N2" s="1">
        <v>4.49825271481164</v>
      </c>
      <c r="O2" s="1">
        <v>6.1752752344866897</v>
      </c>
    </row>
    <row r="3" spans="1:15">
      <c r="A3">
        <v>2</v>
      </c>
      <c r="B3" s="32">
        <v>2748295.6540946802</v>
      </c>
      <c r="C3" s="32">
        <v>41822410674.936996</v>
      </c>
      <c r="D3" s="32">
        <v>35426039310.566101</v>
      </c>
      <c r="E3" s="32">
        <v>16171881744.9347</v>
      </c>
      <c r="F3" s="32">
        <v>15540656739.6842</v>
      </c>
      <c r="G3" s="32">
        <v>31712538484.6189</v>
      </c>
      <c r="H3" s="1">
        <v>50.995229387828097</v>
      </c>
      <c r="I3" s="1">
        <v>49.004770612171797</v>
      </c>
      <c r="J3" s="1">
        <v>38.667980835992402</v>
      </c>
      <c r="K3" s="1">
        <v>37.158682364039997</v>
      </c>
      <c r="L3" s="1">
        <v>45.649703042336199</v>
      </c>
      <c r="M3" s="1">
        <v>43.8678922118429</v>
      </c>
      <c r="N3" s="1">
        <v>5.7140724653971899</v>
      </c>
      <c r="O3" s="1">
        <v>6.9544465213961804</v>
      </c>
    </row>
    <row r="4" spans="1:15">
      <c r="A4">
        <v>3</v>
      </c>
      <c r="B4" s="32">
        <v>2747874.69444041</v>
      </c>
      <c r="C4" s="32">
        <v>47728594014.963997</v>
      </c>
      <c r="D4" s="32">
        <v>39497871055.729301</v>
      </c>
      <c r="E4" s="32">
        <v>18492395560.589802</v>
      </c>
      <c r="F4" s="32">
        <v>16596332039.166201</v>
      </c>
      <c r="G4" s="32">
        <v>35088727599.755997</v>
      </c>
      <c r="H4" s="1">
        <v>52.701812877131502</v>
      </c>
      <c r="I4" s="1">
        <v>47.298187122868399</v>
      </c>
      <c r="J4" s="1">
        <v>38.744899032207101</v>
      </c>
      <c r="K4" s="1">
        <v>34.772304488925201</v>
      </c>
      <c r="L4" s="1">
        <v>46.8187146960353</v>
      </c>
      <c r="M4" s="1">
        <v>42.018295152540503</v>
      </c>
      <c r="N4" s="1">
        <v>6.5339884349016</v>
      </c>
      <c r="O4" s="1">
        <v>7.4268613965963404</v>
      </c>
    </row>
    <row r="5" spans="1:15">
      <c r="A5">
        <v>4</v>
      </c>
      <c r="B5" s="32">
        <v>2747979.4784429399</v>
      </c>
      <c r="C5" s="32">
        <v>55228987672.520798</v>
      </c>
      <c r="D5" s="32">
        <v>44792749154.822098</v>
      </c>
      <c r="E5" s="32">
        <v>21174220742.446899</v>
      </c>
      <c r="F5" s="32">
        <v>18343675668.4002</v>
      </c>
      <c r="G5" s="32">
        <v>39517896410.847198</v>
      </c>
      <c r="H5" s="1">
        <v>53.581345834579601</v>
      </c>
      <c r="I5" s="1">
        <v>46.4186541654203</v>
      </c>
      <c r="J5" s="1">
        <v>38.338962263800802</v>
      </c>
      <c r="K5" s="1">
        <v>33.213854610496703</v>
      </c>
      <c r="L5" s="1">
        <v>47.271536447249801</v>
      </c>
      <c r="M5" s="1">
        <v>40.952332720184103</v>
      </c>
      <c r="N5" s="1">
        <v>7.4815679231982104</v>
      </c>
      <c r="O5" s="1">
        <v>8.2087979664312307</v>
      </c>
    </row>
    <row r="6" spans="1:15">
      <c r="A6">
        <v>5</v>
      </c>
      <c r="B6" s="32">
        <v>2747628.8515828899</v>
      </c>
      <c r="C6" s="32">
        <v>62300009849.796898</v>
      </c>
      <c r="D6" s="32">
        <v>49501029635.587097</v>
      </c>
      <c r="E6" s="32">
        <v>23802239836.017101</v>
      </c>
      <c r="F6" s="32">
        <v>19654031599.593601</v>
      </c>
      <c r="G6" s="32">
        <v>43456271435.610802</v>
      </c>
      <c r="H6" s="1">
        <v>54.7728533758008</v>
      </c>
      <c r="I6" s="1">
        <v>45.227146624199101</v>
      </c>
      <c r="J6" s="1">
        <v>38.205836392969204</v>
      </c>
      <c r="K6" s="1">
        <v>31.547397258810701</v>
      </c>
      <c r="L6" s="1">
        <v>48.084332813362899</v>
      </c>
      <c r="M6" s="1">
        <v>39.704288464868696</v>
      </c>
      <c r="N6" s="1">
        <v>8.4101359017397908</v>
      </c>
      <c r="O6" s="1">
        <v>8.7951824674291093</v>
      </c>
    </row>
    <row r="7" spans="1:15">
      <c r="A7">
        <v>6</v>
      </c>
      <c r="B7" s="32">
        <v>2748336.9317767601</v>
      </c>
      <c r="C7" s="32">
        <v>70697712578.309692</v>
      </c>
      <c r="D7" s="32">
        <v>54853430904.834999</v>
      </c>
      <c r="E7" s="32">
        <v>26514380477.310398</v>
      </c>
      <c r="F7" s="32">
        <v>21273415620.797298</v>
      </c>
      <c r="G7" s="32">
        <v>47787796098.107697</v>
      </c>
      <c r="H7" s="1">
        <v>55.4835808348992</v>
      </c>
      <c r="I7" s="1">
        <v>44.5164191651008</v>
      </c>
      <c r="J7" s="1">
        <v>37.503873195248303</v>
      </c>
      <c r="K7" s="1">
        <v>30.090670327181201</v>
      </c>
      <c r="L7" s="1">
        <v>48.336776824972098</v>
      </c>
      <c r="M7" s="1">
        <v>38.782288126524797</v>
      </c>
      <c r="N7" s="1">
        <v>9.3684268665839099</v>
      </c>
      <c r="O7" s="1">
        <v>9.5198570910121898</v>
      </c>
    </row>
    <row r="8" spans="1:15">
      <c r="A8">
        <v>7</v>
      </c>
      <c r="B8" s="32">
        <v>2747846.3569293302</v>
      </c>
      <c r="C8" s="32">
        <v>80541995781.497406</v>
      </c>
      <c r="D8" s="32">
        <v>60962714759.237099</v>
      </c>
      <c r="E8" s="32">
        <v>29745178079.321999</v>
      </c>
      <c r="F8" s="32">
        <v>23156145640.561298</v>
      </c>
      <c r="G8" s="32">
        <v>52901323719.883301</v>
      </c>
      <c r="H8" s="1">
        <v>56.2276631050388</v>
      </c>
      <c r="I8" s="1">
        <v>43.7723368949611</v>
      </c>
      <c r="J8" s="1">
        <v>36.931265224688197</v>
      </c>
      <c r="K8" s="1">
        <v>28.750399609393401</v>
      </c>
      <c r="L8" s="1">
        <v>48.792410568978099</v>
      </c>
      <c r="M8" s="1">
        <v>37.984111652528803</v>
      </c>
      <c r="N8" s="1">
        <v>10.509976867387399</v>
      </c>
      <c r="O8" s="1">
        <v>10.362379093524501</v>
      </c>
    </row>
    <row r="9" spans="1:15">
      <c r="A9">
        <v>8</v>
      </c>
      <c r="B9" s="32">
        <v>2747984.4327531499</v>
      </c>
      <c r="C9" s="32">
        <v>95316514865.332199</v>
      </c>
      <c r="D9" s="32">
        <v>69592985603.748001</v>
      </c>
      <c r="E9" s="32">
        <v>33990731017.6814</v>
      </c>
      <c r="F9" s="32">
        <v>25837312021.747002</v>
      </c>
      <c r="G9" s="32">
        <v>59828043039.428398</v>
      </c>
      <c r="H9" s="1">
        <v>56.814044536406598</v>
      </c>
      <c r="I9" s="1">
        <v>43.185955463593302</v>
      </c>
      <c r="J9" s="1">
        <v>35.6609041630457</v>
      </c>
      <c r="K9" s="1">
        <v>27.106857671255799</v>
      </c>
      <c r="L9" s="1">
        <v>48.842179600138799</v>
      </c>
      <c r="M9" s="1">
        <v>37.126316391799499</v>
      </c>
      <c r="N9" s="1">
        <v>12.0100742294686</v>
      </c>
      <c r="O9" s="1">
        <v>11.562201502915199</v>
      </c>
    </row>
    <row r="10" spans="1:15">
      <c r="A10">
        <v>9</v>
      </c>
      <c r="B10" s="32">
        <v>2748042.5822946099</v>
      </c>
      <c r="C10" s="32">
        <v>117372854152.933</v>
      </c>
      <c r="D10" s="32">
        <v>82061193028.969299</v>
      </c>
      <c r="E10" s="32">
        <v>40157035542.102303</v>
      </c>
      <c r="F10" s="32">
        <v>29129990531.2584</v>
      </c>
      <c r="G10" s="32">
        <v>69287026073.360703</v>
      </c>
      <c r="H10" s="1">
        <v>57.957510688341998</v>
      </c>
      <c r="I10" s="1">
        <v>42.042489311658002</v>
      </c>
      <c r="J10" s="1">
        <v>34.213222326330097</v>
      </c>
      <c r="K10" s="1">
        <v>24.818337034986602</v>
      </c>
      <c r="L10" s="1">
        <v>48.935476148788197</v>
      </c>
      <c r="M10" s="1">
        <v>35.497888168619298</v>
      </c>
      <c r="N10" s="1">
        <v>14.1888380525027</v>
      </c>
      <c r="O10" s="1">
        <v>13.0356756932352</v>
      </c>
    </row>
    <row r="11" spans="1:15">
      <c r="A11">
        <v>10</v>
      </c>
      <c r="B11" s="32">
        <v>2748063.5193039002</v>
      </c>
      <c r="C11" s="32">
        <v>205068163103.01001</v>
      </c>
      <c r="D11" s="32">
        <v>124958992792.82401</v>
      </c>
      <c r="E11" s="32">
        <v>60239542360.468002</v>
      </c>
      <c r="F11" s="32">
        <v>40132550257.43</v>
      </c>
      <c r="G11" s="32">
        <v>100372092617.89799</v>
      </c>
      <c r="H11" s="1">
        <v>60.016226412446201</v>
      </c>
      <c r="I11" s="1">
        <v>39.9837735875536</v>
      </c>
      <c r="J11" s="1">
        <v>29.3753752161949</v>
      </c>
      <c r="K11" s="1">
        <v>19.5703465863057</v>
      </c>
      <c r="L11" s="1">
        <v>48.207448711067798</v>
      </c>
      <c r="M11" s="1">
        <v>32.116576294726997</v>
      </c>
      <c r="N11" s="1">
        <v>21.284666544008701</v>
      </c>
      <c r="O11" s="1">
        <v>17.959323032973199</v>
      </c>
    </row>
    <row r="13" spans="1:15">
      <c r="C13" s="4" t="s">
        <v>121</v>
      </c>
    </row>
    <row r="14" spans="1:15" ht="34">
      <c r="C14" s="34" t="s">
        <v>0</v>
      </c>
      <c r="D14" s="34" t="s">
        <v>16</v>
      </c>
      <c r="E14" s="34" t="s">
        <v>15</v>
      </c>
      <c r="F14" s="34" t="s">
        <v>14</v>
      </c>
      <c r="G14" s="34" t="s">
        <v>13</v>
      </c>
      <c r="H14" s="34" t="s">
        <v>22</v>
      </c>
      <c r="I14" s="34" t="s">
        <v>21</v>
      </c>
    </row>
    <row r="15" spans="1:15">
      <c r="C15" s="41">
        <v>1</v>
      </c>
      <c r="D15" s="42">
        <v>47.9860719795413</v>
      </c>
      <c r="E15" s="42">
        <v>52.0139280204586</v>
      </c>
      <c r="F15" s="42">
        <v>38.805201679891702</v>
      </c>
      <c r="G15" s="42">
        <v>42.062433613191203</v>
      </c>
      <c r="H15" s="42">
        <v>4.49825271481164</v>
      </c>
      <c r="I15" s="42">
        <v>6.1752752344866897</v>
      </c>
    </row>
    <row r="16" spans="1:15">
      <c r="C16" s="41">
        <v>2</v>
      </c>
      <c r="D16" s="42">
        <v>50.995229387828097</v>
      </c>
      <c r="E16" s="42">
        <v>49.004770612171797</v>
      </c>
      <c r="F16" s="42">
        <v>38.667980835992402</v>
      </c>
      <c r="G16" s="42">
        <v>37.158682364039997</v>
      </c>
      <c r="H16" s="42">
        <v>5.7140724653971899</v>
      </c>
      <c r="I16" s="42">
        <v>6.9544465213961804</v>
      </c>
    </row>
    <row r="17" spans="3:9">
      <c r="C17" s="41">
        <v>3</v>
      </c>
      <c r="D17" s="42">
        <v>52.701812877131502</v>
      </c>
      <c r="E17" s="42">
        <v>47.298187122868399</v>
      </c>
      <c r="F17" s="42">
        <v>38.744899032207101</v>
      </c>
      <c r="G17" s="42">
        <v>34.772304488925201</v>
      </c>
      <c r="H17" s="42">
        <v>6.5339884349016</v>
      </c>
      <c r="I17" s="42">
        <v>7.4268613965963404</v>
      </c>
    </row>
    <row r="18" spans="3:9">
      <c r="C18" s="41">
        <v>4</v>
      </c>
      <c r="D18" s="42">
        <v>53.581345834579601</v>
      </c>
      <c r="E18" s="42">
        <v>46.4186541654203</v>
      </c>
      <c r="F18" s="42">
        <v>38.338962263800802</v>
      </c>
      <c r="G18" s="42">
        <v>33.213854610496703</v>
      </c>
      <c r="H18" s="42">
        <v>7.4815679231982104</v>
      </c>
      <c r="I18" s="42">
        <v>8.2087979664312307</v>
      </c>
    </row>
    <row r="19" spans="3:9">
      <c r="C19" s="41">
        <v>5</v>
      </c>
      <c r="D19" s="42">
        <v>54.7728533758008</v>
      </c>
      <c r="E19" s="42">
        <v>45.227146624199101</v>
      </c>
      <c r="F19" s="42">
        <v>38.205836392969204</v>
      </c>
      <c r="G19" s="42">
        <v>31.547397258810701</v>
      </c>
      <c r="H19" s="42">
        <v>8.4101359017397908</v>
      </c>
      <c r="I19" s="42">
        <v>8.7951824674291093</v>
      </c>
    </row>
    <row r="20" spans="3:9">
      <c r="C20" s="41">
        <v>6</v>
      </c>
      <c r="D20" s="42">
        <v>55.4835808348992</v>
      </c>
      <c r="E20" s="42">
        <v>44.5164191651008</v>
      </c>
      <c r="F20" s="42">
        <v>37.503873195248303</v>
      </c>
      <c r="G20" s="42">
        <v>30.090670327181201</v>
      </c>
      <c r="H20" s="42">
        <v>9.3684268665839099</v>
      </c>
      <c r="I20" s="42">
        <v>9.5198570910121898</v>
      </c>
    </row>
    <row r="21" spans="3:9">
      <c r="C21" s="41">
        <v>7</v>
      </c>
      <c r="D21" s="42">
        <v>56.2276631050388</v>
      </c>
      <c r="E21" s="42">
        <v>43.7723368949611</v>
      </c>
      <c r="F21" s="42">
        <v>36.931265224688197</v>
      </c>
      <c r="G21" s="42">
        <v>28.750399609393401</v>
      </c>
      <c r="H21" s="42">
        <v>10.509976867387399</v>
      </c>
      <c r="I21" s="42">
        <v>10.362379093524501</v>
      </c>
    </row>
    <row r="22" spans="3:9">
      <c r="C22" s="41">
        <v>8</v>
      </c>
      <c r="D22" s="42">
        <v>56.814044536406598</v>
      </c>
      <c r="E22" s="42">
        <v>43.185955463593302</v>
      </c>
      <c r="F22" s="42">
        <v>35.6609041630457</v>
      </c>
      <c r="G22" s="42">
        <v>27.106857671255799</v>
      </c>
      <c r="H22" s="42">
        <v>12.0100742294686</v>
      </c>
      <c r="I22" s="42">
        <v>11.562201502915199</v>
      </c>
    </row>
    <row r="23" spans="3:9">
      <c r="C23" s="41">
        <v>9</v>
      </c>
      <c r="D23" s="42">
        <v>57.957510688341998</v>
      </c>
      <c r="E23" s="42">
        <v>42.042489311658002</v>
      </c>
      <c r="F23" s="42">
        <v>34.213222326330097</v>
      </c>
      <c r="G23" s="42">
        <v>24.818337034986602</v>
      </c>
      <c r="H23" s="42">
        <v>14.1888380525027</v>
      </c>
      <c r="I23" s="42">
        <v>13.0356756932352</v>
      </c>
    </row>
    <row r="24" spans="3:9">
      <c r="C24" s="41">
        <v>10</v>
      </c>
      <c r="D24" s="42">
        <v>60.016226412446201</v>
      </c>
      <c r="E24" s="42">
        <v>39.9837735875536</v>
      </c>
      <c r="F24" s="42">
        <v>29.3753752161949</v>
      </c>
      <c r="G24" s="42">
        <v>19.5703465863057</v>
      </c>
      <c r="H24" s="42">
        <v>21.284666544008701</v>
      </c>
      <c r="I24" s="42">
        <v>17.959323032973199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AA48-B8D0-BB4F-9D44-004653D39453}">
  <dimension ref="A1:R11"/>
  <sheetViews>
    <sheetView zoomScale="110" zoomScaleNormal="110" workbookViewId="0">
      <selection sqref="A1:A11"/>
    </sheetView>
  </sheetViews>
  <sheetFormatPr baseColWidth="10" defaultRowHeight="16"/>
  <cols>
    <col min="1" max="1" width="10.1640625" style="7" customWidth="1"/>
    <col min="2" max="2" width="13" bestFit="1" customWidth="1"/>
    <col min="3" max="4" width="18.6640625" bestFit="1" customWidth="1"/>
    <col min="5" max="6" width="17.6640625" bestFit="1" customWidth="1"/>
    <col min="7" max="7" width="16.5" bestFit="1" customWidth="1"/>
    <col min="8" max="15" width="11" bestFit="1" customWidth="1"/>
    <col min="16" max="17" width="16.6640625" bestFit="1" customWidth="1"/>
    <col min="18" max="18" width="11" bestFit="1" customWidth="1"/>
  </cols>
  <sheetData>
    <row r="1" spans="1:18" s="8" customFormat="1" ht="34">
      <c r="A1" s="8" t="s">
        <v>0</v>
      </c>
      <c r="B1" s="8" t="s">
        <v>1</v>
      </c>
      <c r="C1" s="8" t="s">
        <v>20</v>
      </c>
      <c r="D1" s="8" t="s">
        <v>19</v>
      </c>
      <c r="E1" s="8" t="s">
        <v>18</v>
      </c>
      <c r="F1" s="8" t="s">
        <v>17</v>
      </c>
      <c r="G1" s="8" t="s">
        <v>4</v>
      </c>
      <c r="H1" s="8" t="s">
        <v>16</v>
      </c>
      <c r="I1" s="8" t="s">
        <v>15</v>
      </c>
      <c r="J1" s="8" t="s">
        <v>14</v>
      </c>
      <c r="K1" s="8" t="s">
        <v>13</v>
      </c>
      <c r="L1" s="8" t="s">
        <v>12</v>
      </c>
      <c r="M1" s="8" t="s">
        <v>11</v>
      </c>
      <c r="N1" s="8" t="s">
        <v>22</v>
      </c>
      <c r="O1" s="8" t="s">
        <v>21</v>
      </c>
      <c r="P1" s="8" t="s">
        <v>69</v>
      </c>
      <c r="Q1" s="8" t="s">
        <v>68</v>
      </c>
      <c r="R1" s="8" t="s">
        <v>67</v>
      </c>
    </row>
    <row r="2" spans="1:18">
      <c r="A2" s="7">
        <v>1</v>
      </c>
      <c r="B2" s="2">
        <v>2747642.50515944</v>
      </c>
      <c r="C2" s="2">
        <v>32807166219.147499</v>
      </c>
      <c r="D2" s="2">
        <v>29276373226.599098</v>
      </c>
      <c r="E2" s="2">
        <v>12730887016.797501</v>
      </c>
      <c r="F2" s="2">
        <v>13799492511.298201</v>
      </c>
      <c r="G2" s="2">
        <v>26530379528.095699</v>
      </c>
      <c r="H2" s="2">
        <v>47.9860719795413</v>
      </c>
      <c r="I2" s="2">
        <v>52.0139280204586</v>
      </c>
      <c r="J2" s="2">
        <v>38.805201679891702</v>
      </c>
      <c r="K2" s="2">
        <v>42.062433613191203</v>
      </c>
      <c r="L2" s="2">
        <v>43.485191687715101</v>
      </c>
      <c r="M2" s="2">
        <v>47.135252732605103</v>
      </c>
      <c r="N2" s="2">
        <v>4.49825271481164</v>
      </c>
      <c r="O2" s="2">
        <v>6.1752752344866897</v>
      </c>
      <c r="P2" s="2">
        <v>1527706442.0157001</v>
      </c>
      <c r="Q2" s="2">
        <v>1655939101.3557799</v>
      </c>
      <c r="R2" s="1">
        <v>5.7583286375449498</v>
      </c>
    </row>
    <row r="3" spans="1:18">
      <c r="A3" s="7">
        <v>2</v>
      </c>
      <c r="B3" s="2">
        <v>2748295.6540946802</v>
      </c>
      <c r="C3" s="2">
        <v>41822410674.936996</v>
      </c>
      <c r="D3" s="2">
        <v>35426039310.566101</v>
      </c>
      <c r="E3" s="2">
        <v>16171881744.9347</v>
      </c>
      <c r="F3" s="2">
        <v>15540656739.6842</v>
      </c>
      <c r="G3" s="2">
        <v>31712538484.6189</v>
      </c>
      <c r="H3" s="2">
        <v>50.995229387828097</v>
      </c>
      <c r="I3" s="2">
        <v>49.004770612171797</v>
      </c>
      <c r="J3" s="2">
        <v>38.667980835992402</v>
      </c>
      <c r="K3" s="2">
        <v>37.158682364039997</v>
      </c>
      <c r="L3" s="2">
        <v>45.649703042336199</v>
      </c>
      <c r="M3" s="2">
        <v>43.8678922118429</v>
      </c>
      <c r="N3" s="2">
        <v>5.7140724653971899</v>
      </c>
      <c r="O3" s="2">
        <v>6.9544465213961804</v>
      </c>
      <c r="P3" s="2">
        <v>1940625809.3921599</v>
      </c>
      <c r="Q3" s="2">
        <v>1864878808.7621</v>
      </c>
      <c r="R3" s="1">
        <v>6.11942752653938</v>
      </c>
    </row>
    <row r="4" spans="1:18">
      <c r="A4" s="7">
        <v>3</v>
      </c>
      <c r="B4" s="2">
        <v>2747874.69444041</v>
      </c>
      <c r="C4" s="2">
        <v>47728594014.963997</v>
      </c>
      <c r="D4" s="2">
        <v>39497871055.729301</v>
      </c>
      <c r="E4" s="2">
        <v>18492395560.589802</v>
      </c>
      <c r="F4" s="2">
        <v>16596332039.166201</v>
      </c>
      <c r="G4" s="2">
        <v>35088727599.755997</v>
      </c>
      <c r="H4" s="2">
        <v>52.701812877131502</v>
      </c>
      <c r="I4" s="2">
        <v>47.298187122868399</v>
      </c>
      <c r="J4" s="2">
        <v>38.744899032207101</v>
      </c>
      <c r="K4" s="2">
        <v>34.772304488925201</v>
      </c>
      <c r="L4" s="2">
        <v>46.8187146960353</v>
      </c>
      <c r="M4" s="2">
        <v>42.018295152540503</v>
      </c>
      <c r="N4" s="2">
        <v>6.5339884349016</v>
      </c>
      <c r="O4" s="2">
        <v>7.4268613965963404</v>
      </c>
      <c r="P4" s="2">
        <v>2219087467.2707801</v>
      </c>
      <c r="Q4" s="2">
        <v>1991559844.69994</v>
      </c>
      <c r="R4" s="1">
        <v>6.3242175452557801</v>
      </c>
    </row>
    <row r="5" spans="1:18">
      <c r="A5" s="7">
        <v>4</v>
      </c>
      <c r="B5" s="2">
        <v>2747979.4784429399</v>
      </c>
      <c r="C5" s="2">
        <v>55228987672.520798</v>
      </c>
      <c r="D5" s="2">
        <v>44792749154.822098</v>
      </c>
      <c r="E5" s="2">
        <v>21174220742.446899</v>
      </c>
      <c r="F5" s="2">
        <v>18343675668.4002</v>
      </c>
      <c r="G5" s="2">
        <v>39517896410.847198</v>
      </c>
      <c r="H5" s="2">
        <v>53.581345834579601</v>
      </c>
      <c r="I5" s="2">
        <v>46.4186541654203</v>
      </c>
      <c r="J5" s="2">
        <v>38.338962263800802</v>
      </c>
      <c r="K5" s="2">
        <v>33.213854610496703</v>
      </c>
      <c r="L5" s="2">
        <v>47.271536447249801</v>
      </c>
      <c r="M5" s="2">
        <v>40.952332720184103</v>
      </c>
      <c r="N5" s="2">
        <v>7.4815679231982104</v>
      </c>
      <c r="O5" s="2">
        <v>8.2087979664312307</v>
      </c>
      <c r="P5" s="2">
        <v>2540906489.0936298</v>
      </c>
      <c r="Q5" s="2">
        <v>2201241080.2080202</v>
      </c>
      <c r="R5" s="1">
        <v>6.4297615001495503</v>
      </c>
    </row>
    <row r="6" spans="1:18">
      <c r="A6" s="7">
        <v>5</v>
      </c>
      <c r="B6" s="2">
        <v>2747628.8515828899</v>
      </c>
      <c r="C6" s="2">
        <v>62300009849.796898</v>
      </c>
      <c r="D6" s="2">
        <v>49501029635.587097</v>
      </c>
      <c r="E6" s="2">
        <v>23802239836.017101</v>
      </c>
      <c r="F6" s="2">
        <v>19654031599.593601</v>
      </c>
      <c r="G6" s="2">
        <v>43456271435.610802</v>
      </c>
      <c r="H6" s="2">
        <v>54.7728533758008</v>
      </c>
      <c r="I6" s="2">
        <v>45.227146624199101</v>
      </c>
      <c r="J6" s="2">
        <v>38.205836392969204</v>
      </c>
      <c r="K6" s="2">
        <v>31.547397258810701</v>
      </c>
      <c r="L6" s="2">
        <v>48.084332813362899</v>
      </c>
      <c r="M6" s="2">
        <v>39.704288464868696</v>
      </c>
      <c r="N6" s="2">
        <v>8.4101359017397908</v>
      </c>
      <c r="O6" s="2">
        <v>8.7951824674291093</v>
      </c>
      <c r="P6" s="2">
        <v>2856268780.3220501</v>
      </c>
      <c r="Q6" s="2">
        <v>2358483791.9512401</v>
      </c>
      <c r="R6" s="1">
        <v>6.5727424050960996</v>
      </c>
    </row>
    <row r="7" spans="1:18">
      <c r="A7" s="7">
        <v>6</v>
      </c>
      <c r="B7" s="2">
        <v>2748336.9317767601</v>
      </c>
      <c r="C7" s="2">
        <v>70697712578.309692</v>
      </c>
      <c r="D7" s="2">
        <v>54853430904.834999</v>
      </c>
      <c r="E7" s="2">
        <v>26514380477.310398</v>
      </c>
      <c r="F7" s="2">
        <v>21273415620.797298</v>
      </c>
      <c r="G7" s="2">
        <v>47787796098.107697</v>
      </c>
      <c r="H7" s="2">
        <v>55.4835808348992</v>
      </c>
      <c r="I7" s="2">
        <v>44.5164191651008</v>
      </c>
      <c r="J7" s="2">
        <v>37.503873195248303</v>
      </c>
      <c r="K7" s="2">
        <v>30.090670327181201</v>
      </c>
      <c r="L7" s="2">
        <v>48.336776824972098</v>
      </c>
      <c r="M7" s="2">
        <v>38.782288126524797</v>
      </c>
      <c r="N7" s="2">
        <v>9.3684268665839099</v>
      </c>
      <c r="O7" s="2">
        <v>9.5198570910121898</v>
      </c>
      <c r="P7" s="2">
        <v>3181725657.2772498</v>
      </c>
      <c r="Q7" s="2">
        <v>2552809874.4956799</v>
      </c>
      <c r="R7" s="1">
        <v>6.6580297001878996</v>
      </c>
    </row>
    <row r="8" spans="1:18">
      <c r="A8" s="7">
        <v>7</v>
      </c>
      <c r="B8" s="2">
        <v>2747846.3569293302</v>
      </c>
      <c r="C8" s="2">
        <v>80541995781.497406</v>
      </c>
      <c r="D8" s="2">
        <v>60962714759.237099</v>
      </c>
      <c r="E8" s="2">
        <v>29745178079.321999</v>
      </c>
      <c r="F8" s="2">
        <v>23156145640.561298</v>
      </c>
      <c r="G8" s="2">
        <v>52901323719.883301</v>
      </c>
      <c r="H8" s="2">
        <v>56.2276631050388</v>
      </c>
      <c r="I8" s="2">
        <v>43.7723368949611</v>
      </c>
      <c r="J8" s="2">
        <v>36.931265224688197</v>
      </c>
      <c r="K8" s="2">
        <v>28.750399609393401</v>
      </c>
      <c r="L8" s="2">
        <v>48.792410568978099</v>
      </c>
      <c r="M8" s="2">
        <v>37.984111652528803</v>
      </c>
      <c r="N8" s="2">
        <v>10.509976867387399</v>
      </c>
      <c r="O8" s="2">
        <v>10.362379093524501</v>
      </c>
      <c r="P8" s="2">
        <v>3569421369.51864</v>
      </c>
      <c r="Q8" s="2">
        <v>2778737476.8673501</v>
      </c>
      <c r="R8" s="1">
        <v>6.7473195726046598</v>
      </c>
    </row>
    <row r="9" spans="1:18">
      <c r="A9" s="7">
        <v>8</v>
      </c>
      <c r="B9" s="2">
        <v>2747984.4327531499</v>
      </c>
      <c r="C9" s="2">
        <v>95316514865.332199</v>
      </c>
      <c r="D9" s="2">
        <v>69592985603.748001</v>
      </c>
      <c r="E9" s="2">
        <v>33990731017.6814</v>
      </c>
      <c r="F9" s="2">
        <v>25837312021.747002</v>
      </c>
      <c r="G9" s="2">
        <v>59828043039.428398</v>
      </c>
      <c r="H9" s="2">
        <v>56.814044536406598</v>
      </c>
      <c r="I9" s="2">
        <v>43.185955463593302</v>
      </c>
      <c r="J9" s="2">
        <v>35.6609041630457</v>
      </c>
      <c r="K9" s="2">
        <v>27.106857671255799</v>
      </c>
      <c r="L9" s="2">
        <v>48.842179600138799</v>
      </c>
      <c r="M9" s="2">
        <v>37.126316391799499</v>
      </c>
      <c r="N9" s="2">
        <v>12.0100742294686</v>
      </c>
      <c r="O9" s="2">
        <v>11.562201502915199</v>
      </c>
      <c r="P9" s="2">
        <v>4078887722.1217599</v>
      </c>
      <c r="Q9" s="2">
        <v>3100477442.6096401</v>
      </c>
      <c r="R9" s="1">
        <v>6.8176853443687904</v>
      </c>
    </row>
    <row r="10" spans="1:18">
      <c r="A10" s="7">
        <v>9</v>
      </c>
      <c r="B10" s="2">
        <v>2748042.5822946099</v>
      </c>
      <c r="C10" s="2">
        <v>117372854152.933</v>
      </c>
      <c r="D10" s="2">
        <v>82061193028.969299</v>
      </c>
      <c r="E10" s="2">
        <v>40157035542.102303</v>
      </c>
      <c r="F10" s="2">
        <v>29129990531.2584</v>
      </c>
      <c r="G10" s="2">
        <v>69287026073.360703</v>
      </c>
      <c r="H10" s="2">
        <v>57.957510688341998</v>
      </c>
      <c r="I10" s="2">
        <v>42.042489311658002</v>
      </c>
      <c r="J10" s="2">
        <v>34.213222326330097</v>
      </c>
      <c r="K10" s="2">
        <v>24.818337034986602</v>
      </c>
      <c r="L10" s="2">
        <v>48.935476148788197</v>
      </c>
      <c r="M10" s="2">
        <v>35.497888168619298</v>
      </c>
      <c r="N10" s="2">
        <v>14.1888380525027</v>
      </c>
      <c r="O10" s="2">
        <v>13.0356756932352</v>
      </c>
      <c r="P10" s="2">
        <v>4818844265.0522804</v>
      </c>
      <c r="Q10" s="2">
        <v>3495598863.7509999</v>
      </c>
      <c r="R10" s="1">
        <v>6.9549012826010399</v>
      </c>
    </row>
    <row r="11" spans="1:18">
      <c r="A11" s="7">
        <v>10</v>
      </c>
      <c r="B11" s="2">
        <v>2748063.5193039002</v>
      </c>
      <c r="C11" s="2">
        <v>205068163103.01001</v>
      </c>
      <c r="D11" s="2">
        <v>124958992792.82401</v>
      </c>
      <c r="E11" s="2">
        <v>60239542360.468002</v>
      </c>
      <c r="F11" s="2">
        <v>40132550257.43</v>
      </c>
      <c r="G11" s="2">
        <v>100372092617.89799</v>
      </c>
      <c r="H11" s="2">
        <v>60.016226412446201</v>
      </c>
      <c r="I11" s="2">
        <v>39.9837735875536</v>
      </c>
      <c r="J11" s="2">
        <v>29.3753752161949</v>
      </c>
      <c r="K11" s="2">
        <v>19.5703465863057</v>
      </c>
      <c r="L11" s="2">
        <v>48.207448711067798</v>
      </c>
      <c r="M11" s="2">
        <v>32.116576294726997</v>
      </c>
      <c r="N11" s="2">
        <v>21.284666544008701</v>
      </c>
      <c r="O11" s="2">
        <v>17.959323032973199</v>
      </c>
      <c r="P11" s="2">
        <v>7228745083.2561598</v>
      </c>
      <c r="Q11" s="2">
        <v>4815906030.8915997</v>
      </c>
      <c r="R11" s="1">
        <v>7.2019471694935504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2C87-9E54-3145-A88B-A07A29DD7EB7}">
  <dimension ref="A1:L11"/>
  <sheetViews>
    <sheetView workbookViewId="0">
      <selection activeCell="P29" sqref="P29"/>
    </sheetView>
  </sheetViews>
  <sheetFormatPr baseColWidth="10" defaultRowHeight="16"/>
  <sheetData>
    <row r="1" spans="1:12">
      <c r="A1" t="s">
        <v>0</v>
      </c>
      <c r="B1" t="s">
        <v>73</v>
      </c>
      <c r="C1" t="s">
        <v>72</v>
      </c>
      <c r="D1" t="s">
        <v>71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70</v>
      </c>
    </row>
    <row r="2" spans="1:12">
      <c r="A2">
        <v>1</v>
      </c>
      <c r="B2">
        <v>648947.35149137001</v>
      </c>
      <c r="C2">
        <v>6345</v>
      </c>
      <c r="D2">
        <v>896422.17372514296</v>
      </c>
      <c r="E2">
        <v>2844990137.0868301</v>
      </c>
      <c r="F2">
        <v>3230254476.6378002</v>
      </c>
      <c r="G2">
        <v>6075244613.7246304</v>
      </c>
      <c r="H2">
        <v>341398816.45042002</v>
      </c>
      <c r="I2">
        <v>387630537.196536</v>
      </c>
      <c r="J2">
        <v>5.5450111782996796</v>
      </c>
      <c r="K2">
        <v>6.4549888217003097</v>
      </c>
      <c r="L2">
        <v>41.303620666839997</v>
      </c>
    </row>
    <row r="3" spans="1:12">
      <c r="A3">
        <v>2</v>
      </c>
      <c r="B3">
        <v>793545.70018893306</v>
      </c>
      <c r="C3">
        <v>7496</v>
      </c>
      <c r="D3">
        <v>1089817.1378904299</v>
      </c>
      <c r="E3">
        <v>4392000586.3037996</v>
      </c>
      <c r="F3">
        <v>4380904317.7377796</v>
      </c>
      <c r="G3">
        <v>8772904904.0415897</v>
      </c>
      <c r="H3">
        <v>527040070.35645598</v>
      </c>
      <c r="I3">
        <v>525708518.12853402</v>
      </c>
      <c r="J3">
        <v>5.8439507685413901</v>
      </c>
      <c r="K3">
        <v>6.1560492314586099</v>
      </c>
      <c r="L3">
        <v>43.0382308691931</v>
      </c>
    </row>
    <row r="4" spans="1:12">
      <c r="A4">
        <v>3</v>
      </c>
      <c r="B4">
        <v>840794.53356600797</v>
      </c>
      <c r="C4">
        <v>7683</v>
      </c>
      <c r="D4">
        <v>1151454.4721846599</v>
      </c>
      <c r="E4">
        <v>5196718803.2028103</v>
      </c>
      <c r="F4">
        <v>4825820056.2293196</v>
      </c>
      <c r="G4">
        <v>10022538859.4321</v>
      </c>
      <c r="H4">
        <v>623606256.38433695</v>
      </c>
      <c r="I4">
        <v>579098406.74751794</v>
      </c>
      <c r="J4">
        <v>6.0123375000797301</v>
      </c>
      <c r="K4">
        <v>5.9876624999202601</v>
      </c>
      <c r="L4">
        <v>43.825407370261701</v>
      </c>
    </row>
    <row r="5" spans="1:12">
      <c r="A5">
        <v>4</v>
      </c>
      <c r="B5">
        <v>908975.75731956004</v>
      </c>
      <c r="C5">
        <v>7770</v>
      </c>
      <c r="D5">
        <v>1222612.4450381901</v>
      </c>
      <c r="E5">
        <v>6552979787.26719</v>
      </c>
      <c r="F5">
        <v>5846678315.1264095</v>
      </c>
      <c r="G5">
        <v>12399658102.393499</v>
      </c>
      <c r="H5">
        <v>786357574.47206199</v>
      </c>
      <c r="I5">
        <v>701601397.81516898</v>
      </c>
      <c r="J5">
        <v>6.1368050737206303</v>
      </c>
      <c r="K5">
        <v>5.8631949262793599</v>
      </c>
      <c r="L5">
        <v>44.266407188619297</v>
      </c>
    </row>
    <row r="6" spans="1:12">
      <c r="A6">
        <v>5</v>
      </c>
      <c r="B6">
        <v>1019996.63368056</v>
      </c>
      <c r="C6">
        <v>8235</v>
      </c>
      <c r="D6">
        <v>1386220.24466587</v>
      </c>
      <c r="E6">
        <v>8377555433.59727</v>
      </c>
      <c r="F6">
        <v>6993075532.0031404</v>
      </c>
      <c r="G6">
        <v>15370630965.600401</v>
      </c>
      <c r="H6">
        <v>1005306652.03167</v>
      </c>
      <c r="I6">
        <v>839169063.84037697</v>
      </c>
      <c r="J6">
        <v>6.2992726597596098</v>
      </c>
      <c r="K6">
        <v>5.7007273402403804</v>
      </c>
      <c r="L6">
        <v>44.9469286075675</v>
      </c>
    </row>
    <row r="7" spans="1:12">
      <c r="A7">
        <v>6</v>
      </c>
      <c r="B7">
        <v>1068484.42046699</v>
      </c>
      <c r="C7">
        <v>8090</v>
      </c>
      <c r="D7">
        <v>1457594.51263257</v>
      </c>
      <c r="E7">
        <v>9777427638.5063801</v>
      </c>
      <c r="F7">
        <v>7954862021.8083601</v>
      </c>
      <c r="G7">
        <v>17732289660.314701</v>
      </c>
      <c r="H7">
        <v>1173291316.62076</v>
      </c>
      <c r="I7">
        <v>954583442.61700296</v>
      </c>
      <c r="J7">
        <v>6.3991153764538398</v>
      </c>
      <c r="K7">
        <v>5.6008846235461496</v>
      </c>
      <c r="L7">
        <v>45.1904813041482</v>
      </c>
    </row>
    <row r="8" spans="1:12">
      <c r="A8">
        <v>7</v>
      </c>
      <c r="B8">
        <v>1067983.3396169899</v>
      </c>
      <c r="C8">
        <v>8139</v>
      </c>
      <c r="D8">
        <v>1451455.00675021</v>
      </c>
      <c r="E8">
        <v>10970462209.058901</v>
      </c>
      <c r="F8">
        <v>8637121603.0767307</v>
      </c>
      <c r="G8">
        <v>19607583812.1357</v>
      </c>
      <c r="H8">
        <v>1316455465.08707</v>
      </c>
      <c r="I8">
        <v>1036454592.3692</v>
      </c>
      <c r="J8">
        <v>6.5388442031886003</v>
      </c>
      <c r="K8">
        <v>5.4611557968113802</v>
      </c>
      <c r="L8">
        <v>45.717819613018399</v>
      </c>
    </row>
    <row r="9" spans="1:12">
      <c r="A9">
        <v>8</v>
      </c>
      <c r="B9">
        <v>1082721.2222724201</v>
      </c>
      <c r="C9">
        <v>7994</v>
      </c>
      <c r="D9">
        <v>1455780.8477189201</v>
      </c>
      <c r="E9">
        <v>13004168528.8622</v>
      </c>
      <c r="F9">
        <v>10020942588.805</v>
      </c>
      <c r="G9">
        <v>23025111117.667198</v>
      </c>
      <c r="H9">
        <v>1560500223.46346</v>
      </c>
      <c r="I9">
        <v>1202513110.6566</v>
      </c>
      <c r="J9">
        <v>6.6412796233741496</v>
      </c>
      <c r="K9">
        <v>5.3587203766258398</v>
      </c>
      <c r="L9">
        <v>45.868955833817502</v>
      </c>
    </row>
    <row r="10" spans="1:12">
      <c r="A10">
        <v>9</v>
      </c>
      <c r="B10">
        <v>1105513.4384469399</v>
      </c>
      <c r="C10">
        <v>7973</v>
      </c>
      <c r="D10">
        <v>1502376.64967517</v>
      </c>
      <c r="E10">
        <v>16307776495.1884</v>
      </c>
      <c r="F10">
        <v>11881403837.1026</v>
      </c>
      <c r="G10">
        <v>28189180332.2911</v>
      </c>
      <c r="H10">
        <v>1956933179.42261</v>
      </c>
      <c r="I10">
        <v>1425768460.4523101</v>
      </c>
      <c r="J10">
        <v>6.82997010232903</v>
      </c>
      <c r="K10">
        <v>5.1700298976709602</v>
      </c>
      <c r="L10">
        <v>46.234534576527601</v>
      </c>
    </row>
    <row r="11" spans="1:12">
      <c r="A11">
        <v>10</v>
      </c>
      <c r="B11">
        <v>1036116.8248895</v>
      </c>
      <c r="C11">
        <v>7721</v>
      </c>
      <c r="D11">
        <v>1395352.09435702</v>
      </c>
      <c r="E11">
        <v>23697928415.361401</v>
      </c>
      <c r="F11">
        <v>16355958699.1103</v>
      </c>
      <c r="G11">
        <v>40053887114.471802</v>
      </c>
      <c r="H11">
        <v>2843751409.84337</v>
      </c>
      <c r="I11">
        <v>1962715043.89324</v>
      </c>
      <c r="J11">
        <v>7.0943624172330901</v>
      </c>
      <c r="K11">
        <v>4.9056375827669001</v>
      </c>
      <c r="L11">
        <v>46.259967942541799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C793-A1C4-FF48-AB6B-B60CEDF4D66E}">
  <dimension ref="A1:K15"/>
  <sheetViews>
    <sheetView workbookViewId="0">
      <selection activeCell="M30" sqref="M30"/>
    </sheetView>
  </sheetViews>
  <sheetFormatPr baseColWidth="10" defaultRowHeight="16"/>
  <cols>
    <col min="2" max="2" width="17.5" bestFit="1" customWidth="1"/>
    <col min="3" max="3" width="23.5" bestFit="1" customWidth="1"/>
    <col min="4" max="4" width="26.33203125" customWidth="1"/>
    <col min="5" max="5" width="24.1640625" customWidth="1"/>
    <col min="6" max="7" width="16.6640625" bestFit="1" customWidth="1"/>
    <col min="8" max="11" width="1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2">
        <v>2747642.50515944</v>
      </c>
      <c r="C2" s="2">
        <v>12730887016.797501</v>
      </c>
      <c r="D2" s="2">
        <v>13799492511.298201</v>
      </c>
      <c r="E2" s="2">
        <v>26530379528.095699</v>
      </c>
      <c r="F2" s="2">
        <v>1527706442.0157001</v>
      </c>
      <c r="G2" s="2">
        <v>1655939101.3557799</v>
      </c>
      <c r="H2" s="1">
        <v>5.7081655079756999</v>
      </c>
      <c r="I2" s="1">
        <v>6.2918344920242903</v>
      </c>
      <c r="J2" s="1">
        <v>5.7583286375449596</v>
      </c>
      <c r="K2" s="1">
        <v>6.2416713624550297</v>
      </c>
    </row>
    <row r="3" spans="1:11">
      <c r="A3">
        <v>2</v>
      </c>
      <c r="B3" s="2">
        <v>2748295.6540946802</v>
      </c>
      <c r="C3" s="2">
        <v>16171881744.9347</v>
      </c>
      <c r="D3" s="2">
        <v>15540656739.6842</v>
      </c>
      <c r="E3" s="2">
        <v>31712538484.6189</v>
      </c>
      <c r="F3" s="2">
        <v>1940625809.3921599</v>
      </c>
      <c r="G3" s="2">
        <v>1864878808.7621</v>
      </c>
      <c r="H3" s="1">
        <v>6.0303049401519999</v>
      </c>
      <c r="I3" s="1">
        <v>5.9696950598479903</v>
      </c>
      <c r="J3" s="1">
        <v>6.11942752653938</v>
      </c>
      <c r="K3" s="1">
        <v>5.8805724734606102</v>
      </c>
    </row>
    <row r="4" spans="1:11">
      <c r="A4">
        <v>3</v>
      </c>
      <c r="B4" s="2">
        <v>2747874.69444041</v>
      </c>
      <c r="C4" s="2">
        <v>18492395560.589802</v>
      </c>
      <c r="D4" s="2">
        <v>16596332039.166201</v>
      </c>
      <c r="E4" s="2">
        <v>35088727599.755997</v>
      </c>
      <c r="F4" s="2">
        <v>2219087467.2707801</v>
      </c>
      <c r="G4" s="2">
        <v>1991559844.69994</v>
      </c>
      <c r="H4" s="1">
        <v>6.1898610711613902</v>
      </c>
      <c r="I4" s="1">
        <v>5.8101389288386098</v>
      </c>
      <c r="J4" s="1">
        <v>6.3242175452557801</v>
      </c>
      <c r="K4" s="1">
        <v>5.6757824547442102</v>
      </c>
    </row>
    <row r="5" spans="1:11">
      <c r="A5">
        <v>4</v>
      </c>
      <c r="B5" s="2">
        <v>2747979.4784429399</v>
      </c>
      <c r="C5" s="2">
        <v>21174220742.446899</v>
      </c>
      <c r="D5" s="2">
        <v>18343675668.4002</v>
      </c>
      <c r="E5" s="2">
        <v>39517896410.847198</v>
      </c>
      <c r="F5" s="2">
        <v>2540906489.0936298</v>
      </c>
      <c r="G5" s="2">
        <v>2201241080.2080202</v>
      </c>
      <c r="H5" s="1">
        <v>6.2902942340410304</v>
      </c>
      <c r="I5" s="1">
        <v>5.7097057659589598</v>
      </c>
      <c r="J5" s="1">
        <v>6.4297615001495503</v>
      </c>
      <c r="K5" s="1">
        <v>5.57023849985044</v>
      </c>
    </row>
    <row r="6" spans="1:11">
      <c r="A6">
        <v>5</v>
      </c>
      <c r="B6" s="2">
        <v>2747628.8515828899</v>
      </c>
      <c r="C6" s="2">
        <v>23802239836.017101</v>
      </c>
      <c r="D6" s="2">
        <v>19654031599.593601</v>
      </c>
      <c r="E6" s="2">
        <v>43456271435.610802</v>
      </c>
      <c r="F6" s="2">
        <v>2856268780.3220501</v>
      </c>
      <c r="G6" s="2">
        <v>2358483791.9512401</v>
      </c>
      <c r="H6" s="1">
        <v>6.4047799708266</v>
      </c>
      <c r="I6" s="1">
        <v>5.5952200291733902</v>
      </c>
      <c r="J6" s="1">
        <v>6.5727424050960996</v>
      </c>
      <c r="K6" s="1">
        <v>5.4272575949038897</v>
      </c>
    </row>
    <row r="7" spans="1:11">
      <c r="A7">
        <v>6</v>
      </c>
      <c r="B7" s="2">
        <v>2748336.9317767601</v>
      </c>
      <c r="C7" s="2">
        <v>26514380477.310398</v>
      </c>
      <c r="D7" s="2">
        <v>21273415620.797298</v>
      </c>
      <c r="E7" s="2">
        <v>47787796098.107697</v>
      </c>
      <c r="F7" s="2">
        <v>3181725657.2772498</v>
      </c>
      <c r="G7" s="2">
        <v>2552809874.4956799</v>
      </c>
      <c r="H7" s="1">
        <v>6.4988720176579404</v>
      </c>
      <c r="I7" s="1">
        <v>5.5011279823420498</v>
      </c>
      <c r="J7" s="1">
        <v>6.6580297001878996</v>
      </c>
      <c r="K7" s="1">
        <v>5.3419702998121004</v>
      </c>
    </row>
    <row r="8" spans="1:11">
      <c r="A8">
        <v>7</v>
      </c>
      <c r="B8" s="2">
        <v>2747846.3569293302</v>
      </c>
      <c r="C8" s="2">
        <v>29745178079.321999</v>
      </c>
      <c r="D8" s="2">
        <v>23156145640.561298</v>
      </c>
      <c r="E8" s="2">
        <v>52901323719.883301</v>
      </c>
      <c r="F8" s="2">
        <v>3569421369.51863</v>
      </c>
      <c r="G8" s="2">
        <v>2778737476.8673501</v>
      </c>
      <c r="H8" s="1">
        <v>6.62365764514223</v>
      </c>
      <c r="I8" s="1">
        <v>5.3763423548577602</v>
      </c>
      <c r="J8" s="1">
        <v>6.7473195726046598</v>
      </c>
      <c r="K8" s="1">
        <v>5.2526804273953296</v>
      </c>
    </row>
    <row r="9" spans="1:11">
      <c r="A9">
        <v>8</v>
      </c>
      <c r="B9" s="2">
        <v>2747984.4327531499</v>
      </c>
      <c r="C9" s="2">
        <v>33990731017.6814</v>
      </c>
      <c r="D9" s="2">
        <v>25837312021.747002</v>
      </c>
      <c r="E9" s="2">
        <v>59828043039.428398</v>
      </c>
      <c r="F9" s="2">
        <v>4078887722.1217699</v>
      </c>
      <c r="G9" s="2">
        <v>3100477442.6096401</v>
      </c>
      <c r="H9" s="1">
        <v>6.7137976077127703</v>
      </c>
      <c r="I9" s="1">
        <v>5.2862023922872199</v>
      </c>
      <c r="J9" s="1">
        <v>6.8176853443688001</v>
      </c>
      <c r="K9" s="1">
        <v>5.1823146556311901</v>
      </c>
    </row>
    <row r="10" spans="1:11">
      <c r="A10">
        <v>9</v>
      </c>
      <c r="B10" s="2">
        <v>2748042.5822946099</v>
      </c>
      <c r="C10" s="2">
        <v>40157035542.102303</v>
      </c>
      <c r="D10" s="2">
        <v>29129990531.2584</v>
      </c>
      <c r="E10" s="2">
        <v>69287026073.360703</v>
      </c>
      <c r="F10" s="2">
        <v>4818844265.0522804</v>
      </c>
      <c r="G10" s="2">
        <v>3495598863.7510099</v>
      </c>
      <c r="H10" s="1">
        <v>6.8620584936718902</v>
      </c>
      <c r="I10" s="1">
        <v>5.1379415063281</v>
      </c>
      <c r="J10" s="1">
        <v>6.9549012826010399</v>
      </c>
      <c r="K10" s="1">
        <v>5.0450987173989601</v>
      </c>
    </row>
    <row r="11" spans="1:11">
      <c r="A11">
        <v>10</v>
      </c>
      <c r="B11" s="2">
        <v>2748063.5193039002</v>
      </c>
      <c r="C11" s="2">
        <v>60239542360.468002</v>
      </c>
      <c r="D11" s="2">
        <v>40132550257.43</v>
      </c>
      <c r="E11" s="2">
        <v>100372092617.89799</v>
      </c>
      <c r="F11" s="2">
        <v>7228745083.2561598</v>
      </c>
      <c r="G11" s="2">
        <v>4815906030.8915997</v>
      </c>
      <c r="H11" s="1">
        <v>7.1193827019703901</v>
      </c>
      <c r="I11" s="1">
        <v>4.8806172980296099</v>
      </c>
      <c r="J11" s="1">
        <v>7.2019471694935504</v>
      </c>
      <c r="K11" s="1">
        <v>4.7980528305064398</v>
      </c>
    </row>
    <row r="12" spans="1:11" s="4" customFormat="1">
      <c r="A12" s="4" t="s">
        <v>74</v>
      </c>
      <c r="B12" s="5">
        <f t="shared" ref="B12:G12" si="0">SUM(B2:B11)</f>
        <v>27479695.00677811</v>
      </c>
      <c r="C12" s="5">
        <f t="shared" si="0"/>
        <v>283018492377.6701</v>
      </c>
      <c r="D12" s="5">
        <f t="shared" si="0"/>
        <v>223463602629.93637</v>
      </c>
      <c r="E12" s="5">
        <f t="shared" si="0"/>
        <v>506482095007.60669</v>
      </c>
      <c r="F12" s="5">
        <f t="shared" si="0"/>
        <v>33962219085.320412</v>
      </c>
      <c r="G12" s="5">
        <f t="shared" si="0"/>
        <v>26815632315.592361</v>
      </c>
    </row>
    <row r="13" spans="1:11">
      <c r="C13" s="6">
        <f>C12/E12</f>
        <v>0.558792690141237</v>
      </c>
      <c r="D13" s="6">
        <f>D12/E12</f>
        <v>0.44120730985876261</v>
      </c>
    </row>
    <row r="14" spans="1:11">
      <c r="C14" s="3">
        <f>C12*12</f>
        <v>3396221908532.041</v>
      </c>
      <c r="D14" s="3">
        <f>D12*12</f>
        <v>2681563231559.2363</v>
      </c>
      <c r="E14" s="3">
        <f>E12*12</f>
        <v>6077785140091.2803</v>
      </c>
    </row>
    <row r="15" spans="1:11">
      <c r="C15" s="3">
        <f>C14*0.12</f>
        <v>407546629023.84491</v>
      </c>
      <c r="D15" s="3">
        <f>D14*0.12</f>
        <v>321787587787.10834</v>
      </c>
      <c r="E15" s="3">
        <f>E14*0.12</f>
        <v>729334216810.95361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5D6B-21BD-1148-9FD5-75D290EA934C}">
  <dimension ref="A1:M11"/>
  <sheetViews>
    <sheetView workbookViewId="0">
      <selection activeCell="D32" sqref="D32"/>
    </sheetView>
  </sheetViews>
  <sheetFormatPr baseColWidth="10" defaultRowHeight="16"/>
  <sheetData>
    <row r="1" spans="1:13">
      <c r="A1" t="s">
        <v>0</v>
      </c>
      <c r="B1" t="s">
        <v>1</v>
      </c>
      <c r="C1" t="s">
        <v>20</v>
      </c>
      <c r="D1" t="s">
        <v>19</v>
      </c>
      <c r="E1" t="s">
        <v>18</v>
      </c>
      <c r="F1" t="s">
        <v>17</v>
      </c>
      <c r="G1" t="s">
        <v>4</v>
      </c>
      <c r="H1" t="s">
        <v>16</v>
      </c>
      <c r="I1" t="s">
        <v>15</v>
      </c>
      <c r="J1" t="s">
        <v>14</v>
      </c>
      <c r="K1" t="s">
        <v>13</v>
      </c>
      <c r="L1" t="s">
        <v>12</v>
      </c>
      <c r="M1" t="s">
        <v>11</v>
      </c>
    </row>
    <row r="2" spans="1:13">
      <c r="A2">
        <v>1</v>
      </c>
      <c r="B2">
        <v>2747642.50515944</v>
      </c>
      <c r="C2">
        <v>32807166219.147499</v>
      </c>
      <c r="D2">
        <v>29276373226.599098</v>
      </c>
      <c r="E2">
        <v>12730887016.797501</v>
      </c>
      <c r="F2">
        <v>13799492511.298201</v>
      </c>
      <c r="G2">
        <v>26530379528.095699</v>
      </c>
      <c r="H2">
        <v>47.9860719795413</v>
      </c>
      <c r="I2">
        <v>52.0139280204586</v>
      </c>
      <c r="J2">
        <v>38.805201679891702</v>
      </c>
      <c r="K2">
        <v>42.062433613191203</v>
      </c>
      <c r="L2">
        <v>43.485191687715101</v>
      </c>
      <c r="M2">
        <v>47.135252732605103</v>
      </c>
    </row>
    <row r="3" spans="1:13">
      <c r="A3">
        <v>2</v>
      </c>
      <c r="B3">
        <v>2748295.6540946802</v>
      </c>
      <c r="C3">
        <v>41822410674.936996</v>
      </c>
      <c r="D3">
        <v>35426039310.566101</v>
      </c>
      <c r="E3">
        <v>16171881744.9347</v>
      </c>
      <c r="F3">
        <v>15540656739.6842</v>
      </c>
      <c r="G3">
        <v>31712538484.6189</v>
      </c>
      <c r="H3">
        <v>50.995229387828097</v>
      </c>
      <c r="I3">
        <v>49.004770612171797</v>
      </c>
      <c r="J3">
        <v>38.667980835992402</v>
      </c>
      <c r="K3">
        <v>37.158682364039997</v>
      </c>
      <c r="L3">
        <v>45.649703042336199</v>
      </c>
      <c r="M3">
        <v>43.8678922118429</v>
      </c>
    </row>
    <row r="4" spans="1:13">
      <c r="A4">
        <v>3</v>
      </c>
      <c r="B4">
        <v>2747874.69444041</v>
      </c>
      <c r="C4">
        <v>47728594014.963997</v>
      </c>
      <c r="D4">
        <v>39497871055.729301</v>
      </c>
      <c r="E4">
        <v>18492395560.589802</v>
      </c>
      <c r="F4">
        <v>16596332039.166201</v>
      </c>
      <c r="G4">
        <v>35088727599.755997</v>
      </c>
      <c r="H4">
        <v>52.701812877131502</v>
      </c>
      <c r="I4">
        <v>47.298187122868399</v>
      </c>
      <c r="J4">
        <v>38.744899032207101</v>
      </c>
      <c r="K4">
        <v>34.772304488925201</v>
      </c>
      <c r="L4">
        <v>46.8187146960353</v>
      </c>
      <c r="M4">
        <v>42.018295152540503</v>
      </c>
    </row>
    <row r="5" spans="1:13">
      <c r="A5">
        <v>4</v>
      </c>
      <c r="B5">
        <v>2747979.4784429399</v>
      </c>
      <c r="C5">
        <v>55228987672.520798</v>
      </c>
      <c r="D5">
        <v>44792749154.822098</v>
      </c>
      <c r="E5">
        <v>21174220742.446899</v>
      </c>
      <c r="F5">
        <v>18343675668.4002</v>
      </c>
      <c r="G5">
        <v>39517896410.847198</v>
      </c>
      <c r="H5">
        <v>53.581345834579601</v>
      </c>
      <c r="I5">
        <v>46.4186541654203</v>
      </c>
      <c r="J5">
        <v>38.338962263800802</v>
      </c>
      <c r="K5">
        <v>33.213854610496703</v>
      </c>
      <c r="L5">
        <v>47.271536447249801</v>
      </c>
      <c r="M5">
        <v>40.952332720184103</v>
      </c>
    </row>
    <row r="6" spans="1:13">
      <c r="A6">
        <v>5</v>
      </c>
      <c r="B6">
        <v>2747628.8515828899</v>
      </c>
      <c r="C6">
        <v>62300009849.796898</v>
      </c>
      <c r="D6">
        <v>49501029635.587097</v>
      </c>
      <c r="E6">
        <v>23802239836.017101</v>
      </c>
      <c r="F6">
        <v>19654031599.593601</v>
      </c>
      <c r="G6">
        <v>43456271435.610802</v>
      </c>
      <c r="H6">
        <v>54.7728533758008</v>
      </c>
      <c r="I6">
        <v>45.227146624199101</v>
      </c>
      <c r="J6">
        <v>38.205836392969204</v>
      </c>
      <c r="K6">
        <v>31.547397258810701</v>
      </c>
      <c r="L6">
        <v>48.084332813362899</v>
      </c>
      <c r="M6">
        <v>39.704288464868696</v>
      </c>
    </row>
    <row r="7" spans="1:13">
      <c r="A7">
        <v>6</v>
      </c>
      <c r="B7">
        <v>2748336.9317767601</v>
      </c>
      <c r="C7">
        <v>70697712578.309692</v>
      </c>
      <c r="D7">
        <v>54853430904.834999</v>
      </c>
      <c r="E7">
        <v>26514380477.310398</v>
      </c>
      <c r="F7">
        <v>21273415620.797298</v>
      </c>
      <c r="G7">
        <v>47787796098.107697</v>
      </c>
      <c r="H7">
        <v>55.4835808348992</v>
      </c>
      <c r="I7">
        <v>44.5164191651008</v>
      </c>
      <c r="J7">
        <v>37.503873195248303</v>
      </c>
      <c r="K7">
        <v>30.090670327181201</v>
      </c>
      <c r="L7">
        <v>48.336776824972098</v>
      </c>
      <c r="M7">
        <v>38.782288126524797</v>
      </c>
    </row>
    <row r="8" spans="1:13">
      <c r="A8">
        <v>7</v>
      </c>
      <c r="B8">
        <v>2747846.3569293302</v>
      </c>
      <c r="C8">
        <v>80541995781.497406</v>
      </c>
      <c r="D8">
        <v>60962714759.237099</v>
      </c>
      <c r="E8">
        <v>29745178079.321999</v>
      </c>
      <c r="F8">
        <v>23156145640.561298</v>
      </c>
      <c r="G8">
        <v>52901323719.883301</v>
      </c>
      <c r="H8">
        <v>56.2276631050388</v>
      </c>
      <c r="I8">
        <v>43.7723368949611</v>
      </c>
      <c r="J8">
        <v>36.931265224688197</v>
      </c>
      <c r="K8">
        <v>28.750399609393401</v>
      </c>
      <c r="L8">
        <v>48.792410568978099</v>
      </c>
      <c r="M8">
        <v>37.984111652528803</v>
      </c>
    </row>
    <row r="9" spans="1:13">
      <c r="A9">
        <v>8</v>
      </c>
      <c r="B9">
        <v>2747984.4327531499</v>
      </c>
      <c r="C9">
        <v>95316514865.332199</v>
      </c>
      <c r="D9">
        <v>69592985603.748001</v>
      </c>
      <c r="E9">
        <v>33990731017.6814</v>
      </c>
      <c r="F9">
        <v>25837312021.747002</v>
      </c>
      <c r="G9">
        <v>59828043039.428398</v>
      </c>
      <c r="H9">
        <v>56.814044536406598</v>
      </c>
      <c r="I9">
        <v>43.185955463593302</v>
      </c>
      <c r="J9">
        <v>35.6609041630457</v>
      </c>
      <c r="K9">
        <v>27.106857671255799</v>
      </c>
      <c r="L9">
        <v>48.842179600138799</v>
      </c>
      <c r="M9">
        <v>37.126316391799499</v>
      </c>
    </row>
    <row r="10" spans="1:13">
      <c r="A10">
        <v>9</v>
      </c>
      <c r="B10">
        <v>2748042.5822946099</v>
      </c>
      <c r="C10">
        <v>117372854152.933</v>
      </c>
      <c r="D10">
        <v>82061193028.969299</v>
      </c>
      <c r="E10">
        <v>40157035542.102303</v>
      </c>
      <c r="F10">
        <v>29129990531.2584</v>
      </c>
      <c r="G10">
        <v>69287026073.360703</v>
      </c>
      <c r="H10">
        <v>57.957510688341998</v>
      </c>
      <c r="I10">
        <v>42.042489311658002</v>
      </c>
      <c r="J10">
        <v>34.213222326330097</v>
      </c>
      <c r="K10">
        <v>24.818337034986602</v>
      </c>
      <c r="L10">
        <v>48.935476148788197</v>
      </c>
      <c r="M10">
        <v>35.497888168619298</v>
      </c>
    </row>
    <row r="11" spans="1:13">
      <c r="A11">
        <v>10</v>
      </c>
      <c r="B11">
        <v>2748063.5193039002</v>
      </c>
      <c r="C11">
        <v>205068163103.01001</v>
      </c>
      <c r="D11">
        <v>124958992792.82401</v>
      </c>
      <c r="E11">
        <v>60239542360.468002</v>
      </c>
      <c r="F11">
        <v>40132550257.43</v>
      </c>
      <c r="G11">
        <v>100372092617.89799</v>
      </c>
      <c r="H11">
        <v>60.016226412446201</v>
      </c>
      <c r="I11">
        <v>39.9837735875536</v>
      </c>
      <c r="J11">
        <v>29.3753752161949</v>
      </c>
      <c r="K11">
        <v>19.5703465863057</v>
      </c>
      <c r="L11">
        <v>48.207448711067798</v>
      </c>
      <c r="M11">
        <v>32.116576294726997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main_summary</vt:lpstr>
      <vt:lpstr>tax_share</vt:lpstr>
      <vt:lpstr>budget_share</vt:lpstr>
      <vt:lpstr>tax_share_with_ratios</vt:lpstr>
      <vt:lpstr>exempt_educ_health</vt:lpstr>
      <vt:lpstr>exempt_by_category</vt:lpstr>
      <vt:lpstr>tax_share_bydecile</vt:lpstr>
      <vt:lpstr>vat_paid_and_foregone</vt:lpstr>
      <vt:lpstr>senior_summary</vt:lpstr>
      <vt:lpstr>xxmain_summary</vt:lpstr>
      <vt:lpstr>xx-tax_share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2026-02-03T10:00:44Z</dcterms:created>
  <dcterms:modified xsi:type="dcterms:W3CDTF">2026-02-23T05:31:00Z</dcterms:modified>
</cp:coreProperties>
</file>