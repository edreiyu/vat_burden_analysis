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reiyu/Documents/Projects/vat_burden_analysis/outputs/mar10/"/>
    </mc:Choice>
  </mc:AlternateContent>
  <xr:revisionPtr revIDLastSave="0" documentId="13_ncr:1_{330DE161-F304-1D42-8269-E3BE217278F0}" xr6:coauthVersionLast="47" xr6:coauthVersionMax="47" xr10:uidLastSave="{00000000-0000-0000-0000-000000000000}"/>
  <bookViews>
    <workbookView xWindow="5320" yWindow="2400" windowWidth="25060" windowHeight="15960" activeTab="4" xr2:uid="{3CDFFA7B-317E-5D45-88E7-4E5E0A5F0C4B}"/>
  </bookViews>
  <sheets>
    <sheet name="main_summary" sheetId="2" r:id="rId1"/>
    <sheet name="tax_share" sheetId="3" r:id="rId2"/>
    <sheet name="tax_share_mean" sheetId="4" r:id="rId3"/>
    <sheet name="budget_share" sheetId="5" r:id="rId4"/>
    <sheet name="exempt_by_category" sheetId="6" r:id="rId5"/>
    <sheet name="tax_share_bydecile" sheetId="7" r:id="rId6"/>
    <sheet name="vat_paid_and_foregone" sheetId="8" r:id="rId7"/>
    <sheet name="senior_summary" sheetId="9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6" l="1"/>
  <c r="F16" i="6"/>
  <c r="F15" i="6"/>
  <c r="G13" i="6"/>
  <c r="H13" i="6"/>
  <c r="I13" i="6"/>
  <c r="J13" i="6"/>
  <c r="K13" i="6"/>
  <c r="L13" i="6"/>
  <c r="M13" i="6"/>
  <c r="F13" i="6"/>
  <c r="E13" i="6"/>
  <c r="D13" i="6"/>
  <c r="C13" i="6"/>
  <c r="M12" i="6"/>
  <c r="L12" i="6"/>
  <c r="K12" i="6"/>
  <c r="J12" i="6"/>
  <c r="I12" i="6"/>
  <c r="H12" i="6"/>
  <c r="G12" i="6"/>
  <c r="F12" i="6"/>
  <c r="E12" i="6"/>
  <c r="D12" i="6"/>
  <c r="C12" i="6"/>
  <c r="B12" i="6"/>
  <c r="N14" i="6"/>
</calcChain>
</file>

<file path=xl/sharedStrings.xml><?xml version="1.0" encoding="utf-8"?>
<sst xmlns="http://schemas.openxmlformats.org/spreadsheetml/2006/main" count="195" uniqueCount="93">
  <si>
    <t>sum_vat_foregone_etr</t>
  </si>
  <si>
    <t>sum_vat_etr</t>
  </si>
  <si>
    <t>avg_exempt_to_disp_income</t>
  </si>
  <si>
    <t>avg_exempt_to_income</t>
  </si>
  <si>
    <t>avg_exempt_to_FIESexpenditures</t>
  </si>
  <si>
    <t>avg_exempt_to_TOTALexpenditures</t>
  </si>
  <si>
    <t>avg_vat_to_disp_income</t>
  </si>
  <si>
    <t>avg_vat_to_income</t>
  </si>
  <si>
    <t>avg_vat_to_FIESexpenditures</t>
  </si>
  <si>
    <t>avg_vat_to_TOTALexpenditures</t>
  </si>
  <si>
    <t>total_disposable_income</t>
  </si>
  <si>
    <t>total_income</t>
  </si>
  <si>
    <t>total_FIES_expenditures</t>
  </si>
  <si>
    <t>total_vat_foregone</t>
  </si>
  <si>
    <t>total_vat_paid</t>
  </si>
  <si>
    <t>total_expenditures</t>
  </si>
  <si>
    <t>total_exempt_expenditures</t>
  </si>
  <si>
    <t>total_vatable_expenditures</t>
  </si>
  <si>
    <t>number_households</t>
  </si>
  <si>
    <t>NPCINC</t>
  </si>
  <si>
    <t>exempt_to_disp_income</t>
  </si>
  <si>
    <t>exempt_to_TOTALexpenditures</t>
  </si>
  <si>
    <t>exempt_to_FIESexpenditures</t>
  </si>
  <si>
    <t>exempt_to_income</t>
  </si>
  <si>
    <t>vat_to_disp_income</t>
  </si>
  <si>
    <t>vat_to_TOTALexpenditures</t>
  </si>
  <si>
    <t>vat_to_FIESexpenditures</t>
  </si>
  <si>
    <t>vat_to_income</t>
  </si>
  <si>
    <t>estimated_vat_foregone</t>
  </si>
  <si>
    <t>estimated_vat_paid</t>
  </si>
  <si>
    <t>exempt_share_disp_income</t>
  </si>
  <si>
    <t>vatable_share_disp_income</t>
  </si>
  <si>
    <t>exempt_share_HHexp</t>
  </si>
  <si>
    <t>vatable_share_HHexp</t>
  </si>
  <si>
    <t>exempt_share_income</t>
  </si>
  <si>
    <t>vatable_share_income</t>
  </si>
  <si>
    <t>exempt_share_exp</t>
  </si>
  <si>
    <t>vatable_share_exp</t>
  </si>
  <si>
    <t>exempt_expenditures</t>
  </si>
  <si>
    <t>vatable_expenditures</t>
  </si>
  <si>
    <t>family_occasions_share</t>
  </si>
  <si>
    <t>personal_care_share</t>
  </si>
  <si>
    <t>insurance_&amp;financial_share</t>
  </si>
  <si>
    <t>resto_&amp;accomodation_share</t>
  </si>
  <si>
    <t>education_share</t>
  </si>
  <si>
    <t>recreation_share</t>
  </si>
  <si>
    <t>ict_&amp;equipments_share</t>
  </si>
  <si>
    <t>transport_share</t>
  </si>
  <si>
    <t>health_share</t>
  </si>
  <si>
    <t>furnishings_&amp;maintenance_share</t>
  </si>
  <si>
    <t>housing_&amp;utilities_share</t>
  </si>
  <si>
    <t>clothing_share</t>
  </si>
  <si>
    <t>alcohol_&amp;cigarettes_share</t>
  </si>
  <si>
    <t>food_share</t>
  </si>
  <si>
    <t>family_occasions</t>
  </si>
  <si>
    <t>personal_care</t>
  </si>
  <si>
    <t>insurance_&amp;financial</t>
  </si>
  <si>
    <t>resto_&amp;accomodation</t>
  </si>
  <si>
    <t>education</t>
  </si>
  <si>
    <t>recreation</t>
  </si>
  <si>
    <t>ict_&amp;equipments</t>
  </si>
  <si>
    <t>transport</t>
  </si>
  <si>
    <t>health</t>
  </si>
  <si>
    <t>furnishings_&amp;maintenance</t>
  </si>
  <si>
    <t>housing_&amp;utilities</t>
  </si>
  <si>
    <t>clothing</t>
  </si>
  <si>
    <t>alcohol_&amp;cigarettes</t>
  </si>
  <si>
    <t>food</t>
  </si>
  <si>
    <t>insurance_&amp;financial_exempt_share</t>
  </si>
  <si>
    <t>education_exempt_share</t>
  </si>
  <si>
    <t>recreation_exempt_share</t>
  </si>
  <si>
    <t>transport_exempt_share</t>
  </si>
  <si>
    <t>health_exempt_share</t>
  </si>
  <si>
    <t>furnishings_&amp;maintenance_exempt_share</t>
  </si>
  <si>
    <t>housing_&amp;utilities_exempt_share</t>
  </si>
  <si>
    <t>food_exempt_share</t>
  </si>
  <si>
    <t>insurance_&amp;financial_exempt</t>
  </si>
  <si>
    <t>education_exempt</t>
  </si>
  <si>
    <t>recreation_exempt</t>
  </si>
  <si>
    <t>transport_exempt</t>
  </si>
  <si>
    <t>health_exempt</t>
  </si>
  <si>
    <t>furnishings_&amp;maintenance_exempt</t>
  </si>
  <si>
    <t>housing_&amp;utilities_exempt</t>
  </si>
  <si>
    <t>food_exempt</t>
  </si>
  <si>
    <t>exempt_share_decile</t>
  </si>
  <si>
    <t>vatable_share_decile</t>
  </si>
  <si>
    <t>effective_vat_rate</t>
  </si>
  <si>
    <t>avg_exempt_to_TOTEX</t>
  </si>
  <si>
    <t>avg_vatable_to_TOTEX</t>
  </si>
  <si>
    <t>weighted_number_seniors</t>
  </si>
  <si>
    <t>number_seniors</t>
  </si>
  <si>
    <t>number_households_with_seniors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</si>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</sst>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0.0%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164" fontId="0" fillId="0" borderId="0" xfId="1" applyNumberFormat="1" applyFont="1"/>
    <xf numFmtId="165" fontId="0" fillId="0" borderId="0" xfId="1" applyNumberFormat="1" applyFont="1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43" fontId="0" fillId="0" borderId="0" xfId="1" applyNumberFormat="1" applyFont="1"/>
    <xf numFmtId="164" fontId="0" fillId="4" borderId="0" xfId="1" applyNumberFormat="1" applyFont="1" applyFill="1"/>
    <xf numFmtId="165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5" fontId="3" fillId="0" borderId="0" xfId="0" applyNumberFormat="1" applyFont="1"/>
    <xf numFmtId="0" fontId="3" fillId="0" borderId="0" xfId="0" applyFont="1"/>
    <xf numFmtId="9" fontId="0" fillId="0" borderId="0" xfId="2" applyFont="1"/>
    <xf numFmtId="166" fontId="0" fillId="0" borderId="0" xfId="2" applyNumberFormat="1" applyFont="1"/>
    <xf numFmtId="165" fontId="2" fillId="0" borderId="0" xfId="0" applyNumberFormat="1" applyFont="1"/>
    <xf numFmtId="165" fontId="4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main_summary!$L$1</c:f>
              <c:strCache>
                <c:ptCount val="1"/>
                <c:pt idx="0">
                  <c:v>avg_vat_to_FIESexpenditures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main_summary!$L$2:$L$11</c:f>
              <c:numCache>
                <c:formatCode>_(* #,##0.0_);_(* \(#,##0.0\);_(* "-"??_);_(@_)</c:formatCode>
                <c:ptCount val="10"/>
                <c:pt idx="0">
                  <c:v>5.0927372655117198</c:v>
                </c:pt>
                <c:pt idx="1">
                  <c:v>5.3254565945182799</c:v>
                </c:pt>
                <c:pt idx="2">
                  <c:v>5.4300127691605997</c:v>
                </c:pt>
                <c:pt idx="3">
                  <c:v>5.48447242529428</c:v>
                </c:pt>
                <c:pt idx="4">
                  <c:v>5.5517180911077402</c:v>
                </c:pt>
                <c:pt idx="5">
                  <c:v>5.6044763446378703</c:v>
                </c:pt>
                <c:pt idx="6">
                  <c:v>5.6806103413162399</c:v>
                </c:pt>
                <c:pt idx="7">
                  <c:v>5.7069801665415696</c:v>
                </c:pt>
                <c:pt idx="8">
                  <c:v>5.7775498374609704</c:v>
                </c:pt>
                <c:pt idx="9">
                  <c:v>5.81959379819763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E7-CC4B-865A-D1D6FA8D8244}"/>
            </c:ext>
          </c:extLst>
        </c:ser>
        <c:ser>
          <c:idx val="3"/>
          <c:order val="1"/>
          <c:tx>
            <c:strRef>
              <c:f>main_summary!$N$1</c:f>
              <c:strCache>
                <c:ptCount val="1"/>
                <c:pt idx="0">
                  <c:v>avg_vat_to_disp_income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main_summary!$N$2:$N$11</c:f>
              <c:numCache>
                <c:formatCode>_(* #,##0.0_);_(* \(#,##0.0\);_(* "-"??_);_(@_)</c:formatCode>
                <c:ptCount val="10"/>
                <c:pt idx="0">
                  <c:v>4.6631868889632404</c:v>
                </c:pt>
                <c:pt idx="1">
                  <c:v>4.6385082227303398</c:v>
                </c:pt>
                <c:pt idx="2">
                  <c:v>4.6088262363334298</c:v>
                </c:pt>
                <c:pt idx="3">
                  <c:v>4.5306273722381301</c:v>
                </c:pt>
                <c:pt idx="4">
                  <c:v>4.5109521213722097</c:v>
                </c:pt>
                <c:pt idx="5">
                  <c:v>4.4324517024929504</c:v>
                </c:pt>
                <c:pt idx="6">
                  <c:v>4.3948396121191102</c:v>
                </c:pt>
                <c:pt idx="7">
                  <c:v>4.2419071159929302</c:v>
                </c:pt>
                <c:pt idx="8">
                  <c:v>4.1413670368517703</c:v>
                </c:pt>
                <c:pt idx="9">
                  <c:v>3.86975695163625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E7-CC4B-865A-D1D6FA8D8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23919216"/>
        <c:axId val="924705360"/>
      </c:barChart>
      <c:catAx>
        <c:axId val="9239192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705360"/>
        <c:crosses val="autoZero"/>
        <c:auto val="1"/>
        <c:lblAlgn val="ctr"/>
        <c:lblOffset val="100"/>
        <c:noMultiLvlLbl val="0"/>
      </c:catAx>
      <c:valAx>
        <c:axId val="924705360"/>
        <c:scaling>
          <c:orientation val="minMax"/>
          <c:min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_);_(* \(#,##0.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91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165100</xdr:colOff>
      <xdr:row>13</xdr:row>
      <xdr:rowOff>38100</xdr:rowOff>
    </xdr:from>
    <xdr:to>
      <xdr:col>18</xdr:col>
      <xdr:colOff>50800</xdr:colOff>
      <xdr:row>30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728651-5CA6-65B2-F51D-2A642C7027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E30C6-D479-2244-BDBD-4CB7F7059ACF}">
  <dimension ref="A1:T11"/>
  <sheetViews>
    <sheetView topLeftCell="I1" workbookViewId="0">
      <selection activeCell="V14" sqref="V14"/>
    </sheetView>
  </sheetViews>
  <sheetFormatPr baseColWidth="10" defaultRowHeight="16" x14ac:dyDescent="0.2"/>
  <cols>
    <col min="2" max="2" width="13" bestFit="1" customWidth="1"/>
    <col min="3" max="4" width="18.6640625" bestFit="1" customWidth="1"/>
    <col min="5" max="5" width="20.1640625" bestFit="1" customWidth="1"/>
    <col min="6" max="7" width="17.6640625" bestFit="1" customWidth="1"/>
    <col min="8" max="10" width="20.1640625" bestFit="1" customWidth="1"/>
    <col min="11" max="20" width="11" bestFit="1" customWidth="1"/>
  </cols>
  <sheetData>
    <row r="1" spans="1:20" s="3" customFormat="1" ht="51" x14ac:dyDescent="0.2">
      <c r="A1" s="3" t="s">
        <v>19</v>
      </c>
      <c r="B1" s="3" t="s">
        <v>18</v>
      </c>
      <c r="C1" s="3" t="s">
        <v>17</v>
      </c>
      <c r="D1" s="3" t="s">
        <v>16</v>
      </c>
      <c r="E1" s="3" t="s">
        <v>15</v>
      </c>
      <c r="F1" s="3" t="s">
        <v>14</v>
      </c>
      <c r="G1" s="3" t="s">
        <v>13</v>
      </c>
      <c r="H1" s="3" t="s">
        <v>12</v>
      </c>
      <c r="I1" s="3" t="s">
        <v>11</v>
      </c>
      <c r="J1" s="3" t="s">
        <v>10</v>
      </c>
      <c r="K1" s="4" t="s">
        <v>9</v>
      </c>
      <c r="L1" s="4" t="s">
        <v>8</v>
      </c>
      <c r="M1" s="4" t="s">
        <v>7</v>
      </c>
      <c r="N1" s="4" t="s">
        <v>6</v>
      </c>
      <c r="O1" s="5" t="s">
        <v>5</v>
      </c>
      <c r="P1" s="5" t="s">
        <v>4</v>
      </c>
      <c r="Q1" s="5" t="s">
        <v>3</v>
      </c>
      <c r="R1" s="5" t="s">
        <v>2</v>
      </c>
      <c r="S1" s="6" t="s">
        <v>1</v>
      </c>
      <c r="T1" s="6" t="s">
        <v>0</v>
      </c>
    </row>
    <row r="2" spans="1:20" x14ac:dyDescent="0.2">
      <c r="A2">
        <v>1</v>
      </c>
      <c r="B2" s="2">
        <v>2747642.50515944</v>
      </c>
      <c r="C2" s="2">
        <v>150775643277.01999</v>
      </c>
      <c r="D2" s="2">
        <v>167588911060.129</v>
      </c>
      <c r="E2" s="2">
        <v>318364554337.14899</v>
      </c>
      <c r="F2" s="2">
        <v>18093077193.242401</v>
      </c>
      <c r="G2" s="2">
        <v>20110669327.2155</v>
      </c>
      <c r="H2" s="2">
        <v>351316478719.18903</v>
      </c>
      <c r="I2" s="2">
        <v>393685994629.77002</v>
      </c>
      <c r="J2" s="2">
        <v>393598059781.88599</v>
      </c>
      <c r="K2" s="1">
        <v>5.6343197912252698</v>
      </c>
      <c r="L2" s="1">
        <v>5.0927372655117198</v>
      </c>
      <c r="M2" s="1">
        <v>4.6620162072496596</v>
      </c>
      <c r="N2" s="8">
        <v>4.6631868889632404</v>
      </c>
      <c r="O2" s="1">
        <v>6.3656802087747302</v>
      </c>
      <c r="P2" s="1">
        <v>5.7627063349101304</v>
      </c>
      <c r="Q2" s="1">
        <v>5.2150854350089197</v>
      </c>
      <c r="R2" s="8">
        <v>5.2162586506081601</v>
      </c>
      <c r="S2" s="1">
        <v>5.6831317892511803</v>
      </c>
      <c r="T2" s="1">
        <v>6.3168682107488001</v>
      </c>
    </row>
    <row r="3" spans="1:20" x14ac:dyDescent="0.2">
      <c r="A3">
        <v>2</v>
      </c>
      <c r="B3" s="2">
        <v>2748295.6540946802</v>
      </c>
      <c r="C3" s="2">
        <v>191876396739.00101</v>
      </c>
      <c r="D3" s="2">
        <v>188674065076.42499</v>
      </c>
      <c r="E3" s="2">
        <v>380550461815.427</v>
      </c>
      <c r="F3" s="2">
        <v>23025167608.680199</v>
      </c>
      <c r="G3" s="2">
        <v>22640887809.171101</v>
      </c>
      <c r="H3" s="2">
        <v>425112471726.79303</v>
      </c>
      <c r="I3" s="2">
        <v>501868928099.24402</v>
      </c>
      <c r="J3" s="2">
        <v>501713343239.35199</v>
      </c>
      <c r="K3" s="1">
        <v>5.9508199541161897</v>
      </c>
      <c r="L3" s="1">
        <v>5.3254565945182799</v>
      </c>
      <c r="M3" s="1">
        <v>4.6368745879210804</v>
      </c>
      <c r="N3" s="8">
        <v>4.6385082227303398</v>
      </c>
      <c r="O3" s="1">
        <v>6.0491800458837997</v>
      </c>
      <c r="P3" s="1">
        <v>5.4150394831730599</v>
      </c>
      <c r="Q3" s="1">
        <v>4.6480926939957596</v>
      </c>
      <c r="R3" s="8">
        <v>4.64966525249657</v>
      </c>
      <c r="S3" s="1">
        <v>6.0504899925329099</v>
      </c>
      <c r="T3" s="1">
        <v>5.9495100074670901</v>
      </c>
    </row>
    <row r="4" spans="1:20" x14ac:dyDescent="0.2">
      <c r="A4">
        <v>3</v>
      </c>
      <c r="B4" s="2">
        <v>2747874.69444041</v>
      </c>
      <c r="C4" s="2">
        <v>220499346450.54599</v>
      </c>
      <c r="D4" s="2">
        <v>200565384746.526</v>
      </c>
      <c r="E4" s="2">
        <v>421064731197.073</v>
      </c>
      <c r="F4" s="2">
        <v>26459921574.065498</v>
      </c>
      <c r="G4" s="2">
        <v>24067846169.583199</v>
      </c>
      <c r="H4" s="2">
        <v>473974452668.75201</v>
      </c>
      <c r="I4" s="2">
        <v>572743128179.56702</v>
      </c>
      <c r="J4" s="2">
        <v>572449485768.89697</v>
      </c>
      <c r="K4" s="1">
        <v>6.1196709738999298</v>
      </c>
      <c r="L4" s="1">
        <v>5.4300127691605997</v>
      </c>
      <c r="M4" s="1">
        <v>4.6064304946580901</v>
      </c>
      <c r="N4" s="8">
        <v>4.6088262363334298</v>
      </c>
      <c r="O4" s="1">
        <v>5.8803290261000596</v>
      </c>
      <c r="P4" s="1">
        <v>5.2142354357730296</v>
      </c>
      <c r="Q4" s="1">
        <v>4.3605285964954499</v>
      </c>
      <c r="R4" s="8">
        <v>4.3627668012594203</v>
      </c>
      <c r="S4" s="1">
        <v>6.2840507916302704</v>
      </c>
      <c r="T4" s="1">
        <v>5.7159492083697199</v>
      </c>
    </row>
    <row r="5" spans="1:20" x14ac:dyDescent="0.2">
      <c r="A5">
        <v>4</v>
      </c>
      <c r="B5" s="2">
        <v>2747979.4784429399</v>
      </c>
      <c r="C5" s="2">
        <v>253565638705.341</v>
      </c>
      <c r="D5" s="2">
        <v>220649118224.82501</v>
      </c>
      <c r="E5" s="2">
        <v>474214756930.16602</v>
      </c>
      <c r="F5" s="2">
        <v>30427876644.6409</v>
      </c>
      <c r="G5" s="2">
        <v>26477894186.979</v>
      </c>
      <c r="H5" s="2">
        <v>537512989857.86499</v>
      </c>
      <c r="I5" s="2">
        <v>662747852070.24902</v>
      </c>
      <c r="J5" s="2">
        <v>662337000787.92896</v>
      </c>
      <c r="K5" s="1">
        <v>6.23211757162235</v>
      </c>
      <c r="L5" s="1">
        <v>5.48447242529428</v>
      </c>
      <c r="M5" s="1">
        <v>4.5276447676840696</v>
      </c>
      <c r="N5" s="8">
        <v>4.5306273722381301</v>
      </c>
      <c r="O5" s="1">
        <v>5.7678824283776402</v>
      </c>
      <c r="P5" s="1">
        <v>5.0675643680056703</v>
      </c>
      <c r="Q5" s="1">
        <v>4.1300187507774302</v>
      </c>
      <c r="R5" s="8">
        <v>4.1327452830882097</v>
      </c>
      <c r="S5" s="1">
        <v>6.4164761218347701</v>
      </c>
      <c r="T5" s="1">
        <v>5.5835238781652103</v>
      </c>
    </row>
    <row r="6" spans="1:20" x14ac:dyDescent="0.2">
      <c r="A6">
        <v>5</v>
      </c>
      <c r="B6" s="2">
        <v>2747628.8515828899</v>
      </c>
      <c r="C6" s="2">
        <v>285050596458.32202</v>
      </c>
      <c r="D6" s="2">
        <v>236424660769.00601</v>
      </c>
      <c r="E6" s="2">
        <v>521475257227.32898</v>
      </c>
      <c r="F6" s="2">
        <v>34206071574.998699</v>
      </c>
      <c r="G6" s="2">
        <v>28370959292.2808</v>
      </c>
      <c r="H6" s="2">
        <v>594012355627.04504</v>
      </c>
      <c r="I6" s="2">
        <v>747600118197.56299</v>
      </c>
      <c r="J6" s="2">
        <v>746960235338.88196</v>
      </c>
      <c r="K6" s="1">
        <v>6.3569437180335697</v>
      </c>
      <c r="L6" s="1">
        <v>5.5517180911077402</v>
      </c>
      <c r="M6" s="1">
        <v>4.5067166277640798</v>
      </c>
      <c r="N6" s="8">
        <v>4.5109521213722097</v>
      </c>
      <c r="O6" s="1">
        <v>5.6430562819664196</v>
      </c>
      <c r="P6" s="1">
        <v>4.91680681393645</v>
      </c>
      <c r="Q6" s="1">
        <v>3.93264095561744</v>
      </c>
      <c r="R6" s="8">
        <v>3.9363354791875702</v>
      </c>
      <c r="S6" s="1">
        <v>6.5594812219608398</v>
      </c>
      <c r="T6" s="1">
        <v>5.4405187780391504</v>
      </c>
    </row>
    <row r="7" spans="1:20" x14ac:dyDescent="0.2">
      <c r="A7">
        <v>6</v>
      </c>
      <c r="B7" s="2">
        <v>2748336.9317767601</v>
      </c>
      <c r="C7" s="2">
        <v>318613497545.14398</v>
      </c>
      <c r="D7" s="2">
        <v>254840055632.14801</v>
      </c>
      <c r="E7" s="2">
        <v>573453553177.29297</v>
      </c>
      <c r="F7" s="2">
        <v>38233619705.417297</v>
      </c>
      <c r="G7" s="2">
        <v>30580806675.8578</v>
      </c>
      <c r="H7" s="2">
        <v>658241170858.02002</v>
      </c>
      <c r="I7" s="2">
        <v>848372550939.71704</v>
      </c>
      <c r="J7" s="2">
        <v>847328049717.32202</v>
      </c>
      <c r="K7" s="1">
        <v>6.4704386836936196</v>
      </c>
      <c r="L7" s="1">
        <v>5.6044763446378703</v>
      </c>
      <c r="M7" s="1">
        <v>4.4264075484294203</v>
      </c>
      <c r="N7" s="8">
        <v>4.4324517024929504</v>
      </c>
      <c r="O7" s="1">
        <v>5.5295613163063697</v>
      </c>
      <c r="P7" s="1">
        <v>4.7725667835594701</v>
      </c>
      <c r="Q7" s="1">
        <v>3.7165102550783402</v>
      </c>
      <c r="R7" s="8">
        <v>3.7214726381324099</v>
      </c>
      <c r="S7" s="1">
        <v>6.6672565709252298</v>
      </c>
      <c r="T7" s="1">
        <v>5.3327434290747497</v>
      </c>
    </row>
    <row r="8" spans="1:20" x14ac:dyDescent="0.2">
      <c r="A8">
        <v>7</v>
      </c>
      <c r="B8" s="2">
        <v>2747846.3569293302</v>
      </c>
      <c r="C8" s="2">
        <v>359308466354.51599</v>
      </c>
      <c r="D8" s="2">
        <v>275507418284.08301</v>
      </c>
      <c r="E8" s="2">
        <v>634815884638.59998</v>
      </c>
      <c r="F8" s="2">
        <v>43117015962.541901</v>
      </c>
      <c r="G8" s="2">
        <v>33060890194.09</v>
      </c>
      <c r="H8" s="2">
        <v>731552577110.84595</v>
      </c>
      <c r="I8" s="2">
        <v>966503949377.96899</v>
      </c>
      <c r="J8" s="2">
        <v>964685388999.18298</v>
      </c>
      <c r="K8" s="1">
        <v>6.6113287738973003</v>
      </c>
      <c r="L8" s="1">
        <v>5.6806103413162399</v>
      </c>
      <c r="M8" s="1">
        <v>4.3862510287698004</v>
      </c>
      <c r="N8" s="8">
        <v>4.3948396121191102</v>
      </c>
      <c r="O8" s="1">
        <v>5.3886712261026899</v>
      </c>
      <c r="P8" s="1">
        <v>4.6129793208211796</v>
      </c>
      <c r="Q8" s="1">
        <v>3.5141381139330199</v>
      </c>
      <c r="R8" s="8">
        <v>3.5211429843154298</v>
      </c>
      <c r="S8" s="1">
        <v>6.7920505781118496</v>
      </c>
      <c r="T8" s="1">
        <v>5.2079494218881299</v>
      </c>
    </row>
    <row r="9" spans="1:20" x14ac:dyDescent="0.2">
      <c r="A9">
        <v>8</v>
      </c>
      <c r="B9" s="2">
        <v>2747984.4327531499</v>
      </c>
      <c r="C9" s="2">
        <v>409569714980.22998</v>
      </c>
      <c r="D9" s="2">
        <v>308366801492.91101</v>
      </c>
      <c r="E9" s="2">
        <v>717936516473.14099</v>
      </c>
      <c r="F9" s="2">
        <v>49148365797.627602</v>
      </c>
      <c r="G9" s="2">
        <v>37004016179.1493</v>
      </c>
      <c r="H9" s="2">
        <v>835115827244.97595</v>
      </c>
      <c r="I9" s="2">
        <v>1143798178383.98</v>
      </c>
      <c r="J9" s="2">
        <v>1140196475426.96</v>
      </c>
      <c r="K9" s="1">
        <v>6.7013942439853302</v>
      </c>
      <c r="L9" s="1">
        <v>5.7069801665415696</v>
      </c>
      <c r="M9" s="1">
        <v>4.2303528663889303</v>
      </c>
      <c r="N9" s="8">
        <v>4.2419071159929302</v>
      </c>
      <c r="O9" s="1">
        <v>5.29860575601466</v>
      </c>
      <c r="P9" s="1">
        <v>4.4951802445610101</v>
      </c>
      <c r="Q9" s="1">
        <v>3.2928612311541099</v>
      </c>
      <c r="R9" s="8">
        <v>3.3018442361643401</v>
      </c>
      <c r="S9" s="1">
        <v>6.8457815795564496</v>
      </c>
      <c r="T9" s="1">
        <v>5.15421842044353</v>
      </c>
    </row>
    <row r="10" spans="1:20" x14ac:dyDescent="0.2">
      <c r="A10">
        <v>9</v>
      </c>
      <c r="B10" s="2">
        <v>2748042.5822946099</v>
      </c>
      <c r="C10" s="2">
        <v>486228487485.66101</v>
      </c>
      <c r="D10" s="2">
        <v>345215825394.66803</v>
      </c>
      <c r="E10" s="2">
        <v>831444312880.328</v>
      </c>
      <c r="F10" s="2">
        <v>58347418498.279297</v>
      </c>
      <c r="G10" s="2">
        <v>41425899047.3601</v>
      </c>
      <c r="H10" s="2">
        <v>984734316347.63196</v>
      </c>
      <c r="I10" s="2">
        <v>1408474249835.2</v>
      </c>
      <c r="J10" s="2">
        <v>1401566027182.1899</v>
      </c>
      <c r="K10" s="1">
        <v>6.8966921439157698</v>
      </c>
      <c r="L10" s="1">
        <v>5.7775498374609704</v>
      </c>
      <c r="M10" s="1">
        <v>4.1230134504749696</v>
      </c>
      <c r="N10" s="8">
        <v>4.1413670368517703</v>
      </c>
      <c r="O10" s="1">
        <v>5.1033078560842204</v>
      </c>
      <c r="P10" s="1">
        <v>4.2568034242689796</v>
      </c>
      <c r="Q10" s="1">
        <v>2.9945634000215802</v>
      </c>
      <c r="R10" s="8">
        <v>3.0081508218879498</v>
      </c>
      <c r="S10" s="1">
        <v>7.0175978829116499</v>
      </c>
      <c r="T10" s="1">
        <v>4.9824021170883501</v>
      </c>
    </row>
    <row r="11" spans="1:20" x14ac:dyDescent="0.2">
      <c r="A11">
        <v>10</v>
      </c>
      <c r="B11" s="2">
        <v>2748063.5193039002</v>
      </c>
      <c r="C11" s="2">
        <v>728866393195.48303</v>
      </c>
      <c r="D11" s="2">
        <v>475598718219.29401</v>
      </c>
      <c r="E11" s="2">
        <v>1204465111414.77</v>
      </c>
      <c r="F11" s="2">
        <v>87463967183.457901</v>
      </c>
      <c r="G11" s="2">
        <v>57071846186.315201</v>
      </c>
      <c r="H11" s="2">
        <v>1499507913513.8899</v>
      </c>
      <c r="I11" s="2">
        <v>2460817957236.1299</v>
      </c>
      <c r="J11" s="2">
        <v>2428573096651.0498</v>
      </c>
      <c r="K11" s="1">
        <v>7.1829775840017396</v>
      </c>
      <c r="L11" s="1">
        <v>5.81959379819763</v>
      </c>
      <c r="M11" s="1">
        <v>3.83271254432402</v>
      </c>
      <c r="N11" s="8">
        <v>3.86975695163625</v>
      </c>
      <c r="O11" s="1">
        <v>4.8170224159982604</v>
      </c>
      <c r="P11" s="1">
        <v>3.8811457803873202</v>
      </c>
      <c r="Q11" s="1">
        <v>2.5244989727903899</v>
      </c>
      <c r="R11" s="8">
        <v>2.5495759631995498</v>
      </c>
      <c r="S11" s="1">
        <v>7.2616438910980001</v>
      </c>
      <c r="T11" s="1">
        <v>4.7383561089019901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3FE10-359A-2640-8FA8-F535DF2BC6E7}">
  <dimension ref="A1:Z11"/>
  <sheetViews>
    <sheetView workbookViewId="0"/>
  </sheetViews>
  <sheetFormatPr baseColWidth="10" defaultRowHeight="16" x14ac:dyDescent="0.2"/>
  <sheetData>
    <row r="1" spans="1:26" x14ac:dyDescent="0.2">
      <c r="A1" t="s">
        <v>19</v>
      </c>
      <c r="B1" t="s">
        <v>18</v>
      </c>
      <c r="C1" t="s">
        <v>11</v>
      </c>
      <c r="D1" t="s">
        <v>10</v>
      </c>
      <c r="E1" t="s">
        <v>12</v>
      </c>
      <c r="F1" t="s">
        <v>39</v>
      </c>
      <c r="G1" t="s">
        <v>38</v>
      </c>
      <c r="H1" t="s">
        <v>15</v>
      </c>
      <c r="I1" t="s">
        <v>37</v>
      </c>
      <c r="J1" t="s">
        <v>36</v>
      </c>
      <c r="K1" t="s">
        <v>35</v>
      </c>
      <c r="L1" t="s">
        <v>34</v>
      </c>
      <c r="M1" t="s">
        <v>33</v>
      </c>
      <c r="N1" t="s">
        <v>32</v>
      </c>
      <c r="O1" t="s">
        <v>31</v>
      </c>
      <c r="P1" t="s">
        <v>30</v>
      </c>
      <c r="Q1" t="s">
        <v>29</v>
      </c>
      <c r="R1" t="s">
        <v>28</v>
      </c>
      <c r="S1" t="s">
        <v>27</v>
      </c>
      <c r="T1" t="s">
        <v>26</v>
      </c>
      <c r="U1" t="s">
        <v>25</v>
      </c>
      <c r="V1" t="s">
        <v>24</v>
      </c>
      <c r="W1" t="s">
        <v>23</v>
      </c>
      <c r="X1" t="s">
        <v>22</v>
      </c>
      <c r="Y1" t="s">
        <v>21</v>
      </c>
      <c r="Z1" t="s">
        <v>20</v>
      </c>
    </row>
    <row r="2" spans="1:26" x14ac:dyDescent="0.2">
      <c r="A2">
        <v>1</v>
      </c>
      <c r="B2">
        <v>2747642.50515944</v>
      </c>
      <c r="C2">
        <v>393685994629.77002</v>
      </c>
      <c r="D2">
        <v>393598059781.88599</v>
      </c>
      <c r="E2">
        <v>351316478719.18903</v>
      </c>
      <c r="F2">
        <v>150775643277.01999</v>
      </c>
      <c r="G2">
        <v>167588911060.129</v>
      </c>
      <c r="H2">
        <v>318364554337.14899</v>
      </c>
      <c r="I2">
        <v>47.359431577093197</v>
      </c>
      <c r="J2">
        <v>52.640568422906703</v>
      </c>
      <c r="K2">
        <v>38.298452404640997</v>
      </c>
      <c r="L2">
        <v>42.569182888442</v>
      </c>
      <c r="M2">
        <v>42.9173273700994</v>
      </c>
      <c r="N2">
        <v>47.703117050220797</v>
      </c>
      <c r="O2">
        <v>38.307008769446902</v>
      </c>
      <c r="P2">
        <v>42.578693389138898</v>
      </c>
      <c r="Q2">
        <v>18093077193.242401</v>
      </c>
      <c r="R2">
        <v>20110669327.2155</v>
      </c>
      <c r="S2">
        <v>4.5958142885569204</v>
      </c>
      <c r="T2">
        <v>5.1500792844119303</v>
      </c>
      <c r="U2">
        <v>5.6831317892511901</v>
      </c>
      <c r="V2">
        <v>4.5968410523336303</v>
      </c>
      <c r="W2">
        <v>5.1083019466130404</v>
      </c>
      <c r="X2">
        <v>5.7243740460265</v>
      </c>
      <c r="Y2">
        <v>6.3168682107488001</v>
      </c>
      <c r="Z2">
        <v>5.1094432066966702</v>
      </c>
    </row>
    <row r="3" spans="1:26" x14ac:dyDescent="0.2">
      <c r="A3">
        <v>2</v>
      </c>
      <c r="B3">
        <v>2748295.6540946802</v>
      </c>
      <c r="C3">
        <v>501868928099.24402</v>
      </c>
      <c r="D3">
        <v>501713343239.35199</v>
      </c>
      <c r="E3">
        <v>425112471726.79303</v>
      </c>
      <c r="F3">
        <v>191876396739.00101</v>
      </c>
      <c r="G3">
        <v>188674065076.42499</v>
      </c>
      <c r="H3">
        <v>380550461815.427</v>
      </c>
      <c r="I3">
        <v>50.420749937774197</v>
      </c>
      <c r="J3">
        <v>49.579250062225803</v>
      </c>
      <c r="K3">
        <v>38.232372238246597</v>
      </c>
      <c r="L3">
        <v>37.594290961785802</v>
      </c>
      <c r="M3">
        <v>45.135442853418503</v>
      </c>
      <c r="N3">
        <v>44.382152400760603</v>
      </c>
      <c r="O3">
        <v>38.244228367564702</v>
      </c>
      <c r="P3">
        <v>37.605949217582399</v>
      </c>
      <c r="Q3">
        <v>23025167608.680199</v>
      </c>
      <c r="R3">
        <v>22640887809.171101</v>
      </c>
      <c r="S3">
        <v>4.5878846685896004</v>
      </c>
      <c r="T3">
        <v>5.4162531424102198</v>
      </c>
      <c r="U3">
        <v>6.0504899925329001</v>
      </c>
      <c r="V3">
        <v>4.5893074041077604</v>
      </c>
      <c r="W3">
        <v>4.5113149154143004</v>
      </c>
      <c r="X3">
        <v>5.3258582880912702</v>
      </c>
      <c r="Y3">
        <v>5.9495100074670901</v>
      </c>
      <c r="Z3">
        <v>4.51271390610989</v>
      </c>
    </row>
    <row r="4" spans="1:26" x14ac:dyDescent="0.2">
      <c r="A4">
        <v>3</v>
      </c>
      <c r="B4">
        <v>2747874.69444041</v>
      </c>
      <c r="C4">
        <v>572743128179.56702</v>
      </c>
      <c r="D4">
        <v>572449485768.89697</v>
      </c>
      <c r="E4">
        <v>473974452668.75201</v>
      </c>
      <c r="F4">
        <v>220499346450.54599</v>
      </c>
      <c r="G4">
        <v>200565384746.526</v>
      </c>
      <c r="H4">
        <v>421064731197.073</v>
      </c>
      <c r="I4">
        <v>52.367089930252298</v>
      </c>
      <c r="J4">
        <v>47.632910069747602</v>
      </c>
      <c r="K4">
        <v>38.498820082118002</v>
      </c>
      <c r="L4">
        <v>35.018383439014301</v>
      </c>
      <c r="M4">
        <v>46.521356838750798</v>
      </c>
      <c r="N4">
        <v>42.315653009824899</v>
      </c>
      <c r="O4">
        <v>38.518568350948598</v>
      </c>
      <c r="P4">
        <v>35.036346390831802</v>
      </c>
      <c r="Q4">
        <v>26459921574.065498</v>
      </c>
      <c r="R4">
        <v>24067846169.583099</v>
      </c>
      <c r="S4">
        <v>4.6198584098541602</v>
      </c>
      <c r="T4">
        <v>5.5825628206500904</v>
      </c>
      <c r="U4">
        <v>6.2840507916302704</v>
      </c>
      <c r="V4">
        <v>4.6222282021138303</v>
      </c>
      <c r="W4">
        <v>4.20220601268172</v>
      </c>
      <c r="X4">
        <v>5.0778783611789899</v>
      </c>
      <c r="Y4">
        <v>5.7159492083697199</v>
      </c>
      <c r="Z4">
        <v>4.20436156689982</v>
      </c>
    </row>
    <row r="5" spans="1:26" x14ac:dyDescent="0.2">
      <c r="A5">
        <v>4</v>
      </c>
      <c r="B5">
        <v>2747979.4784429399</v>
      </c>
      <c r="C5">
        <v>662747852070.24902</v>
      </c>
      <c r="D5">
        <v>662337000787.92896</v>
      </c>
      <c r="E5">
        <v>537512989857.86499</v>
      </c>
      <c r="F5">
        <v>253565638705.341</v>
      </c>
      <c r="G5">
        <v>220649118224.82501</v>
      </c>
      <c r="H5">
        <v>474214756930.16602</v>
      </c>
      <c r="I5">
        <v>53.470634348623101</v>
      </c>
      <c r="J5">
        <v>46.5293656513768</v>
      </c>
      <c r="K5">
        <v>38.2597450769955</v>
      </c>
      <c r="L5">
        <v>33.293071797301899</v>
      </c>
      <c r="M5">
        <v>47.1738624907263</v>
      </c>
      <c r="N5">
        <v>41.050006676707703</v>
      </c>
      <c r="O5">
        <v>38.283477807172801</v>
      </c>
      <c r="P5">
        <v>33.313723672743002</v>
      </c>
      <c r="Q5">
        <v>30427876644.6409</v>
      </c>
      <c r="R5">
        <v>26477894186.979</v>
      </c>
      <c r="S5">
        <v>4.5911694092394599</v>
      </c>
      <c r="T5">
        <v>5.6608634988871502</v>
      </c>
      <c r="U5">
        <v>6.4164761218347701</v>
      </c>
      <c r="V5">
        <v>4.5940173368607402</v>
      </c>
      <c r="W5">
        <v>3.9951686156762301</v>
      </c>
      <c r="X5">
        <v>4.9260008012049203</v>
      </c>
      <c r="Y5">
        <v>5.5835238781652103</v>
      </c>
      <c r="Z5">
        <v>3.9976468407291699</v>
      </c>
    </row>
    <row r="6" spans="1:26" x14ac:dyDescent="0.2">
      <c r="A6">
        <v>5</v>
      </c>
      <c r="B6">
        <v>2747628.8515828899</v>
      </c>
      <c r="C6">
        <v>747600118197.56299</v>
      </c>
      <c r="D6">
        <v>746960235338.88196</v>
      </c>
      <c r="E6">
        <v>594012355627.04504</v>
      </c>
      <c r="F6">
        <v>285050596458.32202</v>
      </c>
      <c r="G6">
        <v>236424660769.00601</v>
      </c>
      <c r="H6">
        <v>521475257227.32898</v>
      </c>
      <c r="I6">
        <v>54.6623435163403</v>
      </c>
      <c r="J6">
        <v>45.337656483659501</v>
      </c>
      <c r="K6">
        <v>38.128752192491497</v>
      </c>
      <c r="L6">
        <v>31.6244814592884</v>
      </c>
      <c r="M6">
        <v>47.987317731366097</v>
      </c>
      <c r="N6">
        <v>39.801303546865498</v>
      </c>
      <c r="O6">
        <v>38.161415156055803</v>
      </c>
      <c r="P6">
        <v>31.651572544788198</v>
      </c>
      <c r="Q6">
        <v>34206071574.998699</v>
      </c>
      <c r="R6">
        <v>28370959292.2808</v>
      </c>
      <c r="S6">
        <v>4.57545026309898</v>
      </c>
      <c r="T6">
        <v>5.7584781277639303</v>
      </c>
      <c r="U6">
        <v>6.5594812219608398</v>
      </c>
      <c r="V6">
        <v>4.5793698187266996</v>
      </c>
      <c r="W6">
        <v>3.7949377751146098</v>
      </c>
      <c r="X6">
        <v>4.77615642562386</v>
      </c>
      <c r="Y6">
        <v>5.4405187780391397</v>
      </c>
      <c r="Z6">
        <v>3.7981887053745802</v>
      </c>
    </row>
    <row r="7" spans="1:26" x14ac:dyDescent="0.2">
      <c r="A7">
        <v>6</v>
      </c>
      <c r="B7">
        <v>2748336.9317767601</v>
      </c>
      <c r="C7">
        <v>848372550939.71704</v>
      </c>
      <c r="D7">
        <v>847328049717.32202</v>
      </c>
      <c r="E7">
        <v>658241170858.02002</v>
      </c>
      <c r="F7">
        <v>318613497545.14398</v>
      </c>
      <c r="G7">
        <v>254840055632.14801</v>
      </c>
      <c r="H7">
        <v>573453553177.29297</v>
      </c>
      <c r="I7">
        <v>55.5604714243769</v>
      </c>
      <c r="J7">
        <v>44.439528575623001</v>
      </c>
      <c r="K7">
        <v>37.5558470382175</v>
      </c>
      <c r="L7">
        <v>30.038696484212</v>
      </c>
      <c r="M7">
        <v>48.403763187560898</v>
      </c>
      <c r="N7">
        <v>38.715301763936097</v>
      </c>
      <c r="O7">
        <v>37.602142128003102</v>
      </c>
      <c r="P7">
        <v>30.075725183081801</v>
      </c>
      <c r="Q7">
        <v>38233619705.417297</v>
      </c>
      <c r="R7">
        <v>30580806675.8578</v>
      </c>
      <c r="S7">
        <v>4.5067016445860997</v>
      </c>
      <c r="T7">
        <v>5.8084515825073098</v>
      </c>
      <c r="U7">
        <v>6.6672565709252298</v>
      </c>
      <c r="V7">
        <v>4.5122570553603696</v>
      </c>
      <c r="W7">
        <v>3.6046435781054398</v>
      </c>
      <c r="X7">
        <v>4.6458362116723304</v>
      </c>
      <c r="Y7">
        <v>5.3327434290747604</v>
      </c>
      <c r="Z7">
        <v>3.6090870219698101</v>
      </c>
    </row>
    <row r="8" spans="1:26" x14ac:dyDescent="0.2">
      <c r="A8">
        <v>7</v>
      </c>
      <c r="B8">
        <v>2747846.3569293302</v>
      </c>
      <c r="C8">
        <v>966503949377.96899</v>
      </c>
      <c r="D8">
        <v>964685388999.18298</v>
      </c>
      <c r="E8">
        <v>731552577110.84595</v>
      </c>
      <c r="F8">
        <v>359308466354.51599</v>
      </c>
      <c r="G8">
        <v>275507418284.08301</v>
      </c>
      <c r="H8">
        <v>634815884638.59998</v>
      </c>
      <c r="I8">
        <v>56.600421484265397</v>
      </c>
      <c r="J8">
        <v>43.399578515734497</v>
      </c>
      <c r="K8">
        <v>37.176099133972698</v>
      </c>
      <c r="L8">
        <v>28.5055657001088</v>
      </c>
      <c r="M8">
        <v>49.115877326760199</v>
      </c>
      <c r="N8">
        <v>37.660644894746703</v>
      </c>
      <c r="O8">
        <v>37.246181029784402</v>
      </c>
      <c r="P8">
        <v>28.559302486161801</v>
      </c>
      <c r="Q8">
        <v>43117015962.541901</v>
      </c>
      <c r="R8">
        <v>33060890194.09</v>
      </c>
      <c r="S8">
        <v>4.4611318960767301</v>
      </c>
      <c r="T8">
        <v>5.8939052792112196</v>
      </c>
      <c r="U8">
        <v>6.7920505781118496</v>
      </c>
      <c r="V8">
        <v>4.4695417235741299</v>
      </c>
      <c r="W8">
        <v>3.42066788401306</v>
      </c>
      <c r="X8">
        <v>4.5192773873696002</v>
      </c>
      <c r="Y8">
        <v>5.2079494218881397</v>
      </c>
      <c r="Z8">
        <v>3.4271162983394201</v>
      </c>
    </row>
    <row r="9" spans="1:26" x14ac:dyDescent="0.2">
      <c r="A9">
        <v>8</v>
      </c>
      <c r="B9">
        <v>2747984.4327531499</v>
      </c>
      <c r="C9">
        <v>1143798178383.98</v>
      </c>
      <c r="D9">
        <v>1140196475426.96</v>
      </c>
      <c r="E9">
        <v>835115827244.97595</v>
      </c>
      <c r="F9">
        <v>409569714980.22998</v>
      </c>
      <c r="G9">
        <v>308366801492.91101</v>
      </c>
      <c r="H9">
        <v>717936516473.14099</v>
      </c>
      <c r="I9">
        <v>57.048179829637</v>
      </c>
      <c r="J9">
        <v>42.951820170362801</v>
      </c>
      <c r="K9">
        <v>35.807865646270699</v>
      </c>
      <c r="L9">
        <v>26.9598961880308</v>
      </c>
      <c r="M9">
        <v>49.043462190315402</v>
      </c>
      <c r="N9">
        <v>36.925033801622902</v>
      </c>
      <c r="O9">
        <v>35.920977112901397</v>
      </c>
      <c r="P9">
        <v>27.045058298170702</v>
      </c>
      <c r="Q9">
        <v>49148365797.627602</v>
      </c>
      <c r="R9">
        <v>37004016179.1493</v>
      </c>
      <c r="S9">
        <v>4.2969438775524802</v>
      </c>
      <c r="T9">
        <v>5.8852154628378504</v>
      </c>
      <c r="U9">
        <v>6.8457815795564496</v>
      </c>
      <c r="V9">
        <v>4.3105172535481699</v>
      </c>
      <c r="W9">
        <v>3.2351875425637</v>
      </c>
      <c r="X9">
        <v>4.4310040561947499</v>
      </c>
      <c r="Y9">
        <v>5.15421842044353</v>
      </c>
      <c r="Z9">
        <v>3.2454069957804799</v>
      </c>
    </row>
    <row r="10" spans="1:26" x14ac:dyDescent="0.2">
      <c r="A10">
        <v>9</v>
      </c>
      <c r="B10">
        <v>2748042.5822946099</v>
      </c>
      <c r="C10">
        <v>1408474249835.2</v>
      </c>
      <c r="D10">
        <v>1401566027182.1899</v>
      </c>
      <c r="E10">
        <v>984734316347.63196</v>
      </c>
      <c r="F10">
        <v>486228487485.66101</v>
      </c>
      <c r="G10">
        <v>345215825394.66803</v>
      </c>
      <c r="H10">
        <v>831444312880.328</v>
      </c>
      <c r="I10">
        <v>58.479982357597102</v>
      </c>
      <c r="J10">
        <v>41.520017642402799</v>
      </c>
      <c r="K10">
        <v>34.521645499912502</v>
      </c>
      <c r="L10">
        <v>24.5099138614043</v>
      </c>
      <c r="M10">
        <v>49.376616556745603</v>
      </c>
      <c r="N10">
        <v>35.056747760661899</v>
      </c>
      <c r="O10">
        <v>34.691800318762603</v>
      </c>
      <c r="P10">
        <v>24.630721542866802</v>
      </c>
      <c r="Q10">
        <v>58347418498.279297</v>
      </c>
      <c r="R10">
        <v>41425899047.3601</v>
      </c>
      <c r="S10">
        <v>4.1425974599895099</v>
      </c>
      <c r="T10">
        <v>5.9251939868094698</v>
      </c>
      <c r="U10">
        <v>7.0175978829116499</v>
      </c>
      <c r="V10">
        <v>4.1630160382515102</v>
      </c>
      <c r="W10">
        <v>2.94118966336851</v>
      </c>
      <c r="X10">
        <v>4.2068097312794297</v>
      </c>
      <c r="Y10">
        <v>4.9824021170883404</v>
      </c>
      <c r="Z10">
        <v>2.9556865851440199</v>
      </c>
    </row>
    <row r="11" spans="1:26" x14ac:dyDescent="0.2">
      <c r="A11">
        <v>10</v>
      </c>
      <c r="B11">
        <v>2748063.5193039002</v>
      </c>
      <c r="C11">
        <v>2460817957236.1299</v>
      </c>
      <c r="D11">
        <v>2428573096651.0498</v>
      </c>
      <c r="E11">
        <v>1499507913513.8899</v>
      </c>
      <c r="F11">
        <v>728866393195.48303</v>
      </c>
      <c r="G11">
        <v>475598718219.29401</v>
      </c>
      <c r="H11">
        <v>1204465111414.77</v>
      </c>
      <c r="I11">
        <v>60.5136990924833</v>
      </c>
      <c r="J11">
        <v>39.4863009075166</v>
      </c>
      <c r="K11">
        <v>29.618866810209301</v>
      </c>
      <c r="L11">
        <v>19.326854992291299</v>
      </c>
      <c r="M11">
        <v>48.607038790977803</v>
      </c>
      <c r="N11">
        <v>31.716986214816998</v>
      </c>
      <c r="O11">
        <v>30.012124988149299</v>
      </c>
      <c r="P11">
        <v>19.583463181533801</v>
      </c>
      <c r="Q11">
        <v>87463967183.457901</v>
      </c>
      <c r="R11">
        <v>57071846186.3153</v>
      </c>
      <c r="S11">
        <v>3.5542640172251101</v>
      </c>
      <c r="T11">
        <v>5.8328446549173298</v>
      </c>
      <c r="U11">
        <v>7.2616438910980001</v>
      </c>
      <c r="V11">
        <v>3.6014549985779198</v>
      </c>
      <c r="W11">
        <v>2.3192225990749602</v>
      </c>
      <c r="X11">
        <v>3.80603834577804</v>
      </c>
      <c r="Y11">
        <v>4.7383561089019901</v>
      </c>
      <c r="Z11">
        <v>2.3500155817840498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7D22D-A694-A347-9C45-793C719C9655}">
  <dimension ref="A1:Z11"/>
  <sheetViews>
    <sheetView workbookViewId="0"/>
  </sheetViews>
  <sheetFormatPr baseColWidth="10" defaultRowHeight="16" x14ac:dyDescent="0.2"/>
  <sheetData>
    <row r="1" spans="1:26" x14ac:dyDescent="0.2">
      <c r="A1" t="s">
        <v>19</v>
      </c>
      <c r="B1" t="s">
        <v>18</v>
      </c>
      <c r="C1" t="s">
        <v>11</v>
      </c>
      <c r="D1" t="s">
        <v>10</v>
      </c>
      <c r="E1" t="s">
        <v>12</v>
      </c>
      <c r="F1" t="s">
        <v>39</v>
      </c>
      <c r="G1" t="s">
        <v>38</v>
      </c>
      <c r="H1" t="s">
        <v>15</v>
      </c>
      <c r="I1" t="s">
        <v>29</v>
      </c>
      <c r="J1" t="s">
        <v>28</v>
      </c>
      <c r="K1" t="s">
        <v>37</v>
      </c>
      <c r="L1" t="s">
        <v>36</v>
      </c>
      <c r="M1" t="s">
        <v>35</v>
      </c>
      <c r="N1" t="s">
        <v>34</v>
      </c>
      <c r="O1" t="s">
        <v>33</v>
      </c>
      <c r="P1" t="s">
        <v>32</v>
      </c>
      <c r="Q1" t="s">
        <v>31</v>
      </c>
      <c r="R1" t="s">
        <v>30</v>
      </c>
      <c r="S1" t="s">
        <v>27</v>
      </c>
      <c r="T1" t="s">
        <v>26</v>
      </c>
      <c r="U1" t="s">
        <v>25</v>
      </c>
      <c r="V1" t="s">
        <v>24</v>
      </c>
      <c r="W1" t="s">
        <v>23</v>
      </c>
      <c r="X1" t="s">
        <v>22</v>
      </c>
      <c r="Y1" t="s">
        <v>21</v>
      </c>
      <c r="Z1" t="s">
        <v>20</v>
      </c>
    </row>
    <row r="2" spans="1:26" x14ac:dyDescent="0.2">
      <c r="A2">
        <v>1</v>
      </c>
      <c r="B2">
        <v>2747642.50515944</v>
      </c>
      <c r="C2">
        <v>393685994629.77002</v>
      </c>
      <c r="D2">
        <v>393598059781.88599</v>
      </c>
      <c r="E2">
        <v>351316478719.18903</v>
      </c>
      <c r="F2">
        <v>150775643277.01999</v>
      </c>
      <c r="G2">
        <v>167588911060.129</v>
      </c>
      <c r="H2">
        <v>318364554337.14899</v>
      </c>
      <c r="I2">
        <v>18093077193.242401</v>
      </c>
      <c r="J2">
        <v>20110669327.2155</v>
      </c>
      <c r="K2">
        <v>46.952664926877198</v>
      </c>
      <c r="L2">
        <v>53.047335073122703</v>
      </c>
      <c r="M2">
        <v>38.850135060413798</v>
      </c>
      <c r="N2">
        <v>43.459045291740999</v>
      </c>
      <c r="O2">
        <v>42.439477212597602</v>
      </c>
      <c r="P2">
        <v>48.0225527909178</v>
      </c>
      <c r="Q2">
        <v>38.859890741360402</v>
      </c>
      <c r="R2">
        <v>43.468822088401303</v>
      </c>
      <c r="S2">
        <v>4.6620162072496596</v>
      </c>
      <c r="T2">
        <v>5.0927372655117198</v>
      </c>
      <c r="U2">
        <v>5.6343197912252698</v>
      </c>
      <c r="V2">
        <v>4.6631868889632404</v>
      </c>
      <c r="W2">
        <v>5.2150854350089197</v>
      </c>
      <c r="X2">
        <v>5.7627063349101304</v>
      </c>
      <c r="Y2">
        <v>6.3656802087747302</v>
      </c>
      <c r="Z2">
        <v>5.2162586506081601</v>
      </c>
    </row>
    <row r="3" spans="1:26" x14ac:dyDescent="0.2">
      <c r="A3">
        <v>2</v>
      </c>
      <c r="B3">
        <v>2748295.6540946802</v>
      </c>
      <c r="C3">
        <v>501868928099.24402</v>
      </c>
      <c r="D3">
        <v>501713343239.35199</v>
      </c>
      <c r="E3">
        <v>425112471726.79303</v>
      </c>
      <c r="F3">
        <v>191876396739.00101</v>
      </c>
      <c r="G3">
        <v>188674065076.42499</v>
      </c>
      <c r="H3">
        <v>380550461815.427</v>
      </c>
      <c r="I3">
        <v>23025167608.680199</v>
      </c>
      <c r="J3">
        <v>22640887809.171101</v>
      </c>
      <c r="K3">
        <v>49.590166284301603</v>
      </c>
      <c r="L3">
        <v>50.409833715698298</v>
      </c>
      <c r="M3">
        <v>38.640621566009003</v>
      </c>
      <c r="N3">
        <v>38.734105783297899</v>
      </c>
      <c r="O3">
        <v>44.378804954319001</v>
      </c>
      <c r="P3">
        <v>45.125329026442202</v>
      </c>
      <c r="Q3">
        <v>38.654235189419502</v>
      </c>
      <c r="R3">
        <v>38.747210437471303</v>
      </c>
      <c r="S3">
        <v>4.6368745879210804</v>
      </c>
      <c r="T3">
        <v>5.3254565945182799</v>
      </c>
      <c r="U3">
        <v>5.9508199541161897</v>
      </c>
      <c r="V3">
        <v>4.6385082227303398</v>
      </c>
      <c r="W3">
        <v>4.6480926939957596</v>
      </c>
      <c r="X3">
        <v>5.4150394831730599</v>
      </c>
      <c r="Y3">
        <v>6.0491800458837997</v>
      </c>
      <c r="Z3">
        <v>4.64966525249657</v>
      </c>
    </row>
    <row r="4" spans="1:26" x14ac:dyDescent="0.2">
      <c r="A4">
        <v>3</v>
      </c>
      <c r="B4">
        <v>2747874.69444041</v>
      </c>
      <c r="C4">
        <v>572743128179.56702</v>
      </c>
      <c r="D4">
        <v>572449485768.89697</v>
      </c>
      <c r="E4">
        <v>473974452668.75201</v>
      </c>
      <c r="F4">
        <v>220499346450.54599</v>
      </c>
      <c r="G4">
        <v>200565384746.526</v>
      </c>
      <c r="H4">
        <v>421064731197.073</v>
      </c>
      <c r="I4">
        <v>26459921574.065498</v>
      </c>
      <c r="J4">
        <v>24067846169.583199</v>
      </c>
      <c r="K4">
        <v>50.9972581158327</v>
      </c>
      <c r="L4">
        <v>49.0027418841672</v>
      </c>
      <c r="M4">
        <v>38.386920788817399</v>
      </c>
      <c r="N4">
        <v>36.337738304128699</v>
      </c>
      <c r="O4">
        <v>45.250106409671702</v>
      </c>
      <c r="P4">
        <v>43.451961964775201</v>
      </c>
      <c r="Q4">
        <v>38.406885302778598</v>
      </c>
      <c r="R4">
        <v>36.356390010495197</v>
      </c>
      <c r="S4">
        <v>4.6064304946580901</v>
      </c>
      <c r="T4">
        <v>5.4300127691605997</v>
      </c>
      <c r="U4">
        <v>6.1196709738999298</v>
      </c>
      <c r="V4">
        <v>4.6088262363334298</v>
      </c>
      <c r="W4">
        <v>4.3605285964954499</v>
      </c>
      <c r="X4">
        <v>5.2142354357730296</v>
      </c>
      <c r="Y4">
        <v>5.8803290261000596</v>
      </c>
      <c r="Z4">
        <v>4.3627668012594203</v>
      </c>
    </row>
    <row r="5" spans="1:26" x14ac:dyDescent="0.2">
      <c r="A5">
        <v>4</v>
      </c>
      <c r="B5">
        <v>2747979.4784429399</v>
      </c>
      <c r="C5">
        <v>662747852070.24902</v>
      </c>
      <c r="D5">
        <v>662337000787.92896</v>
      </c>
      <c r="E5">
        <v>537512989857.86499</v>
      </c>
      <c r="F5">
        <v>253565638705.341</v>
      </c>
      <c r="G5">
        <v>220649118224.82501</v>
      </c>
      <c r="H5">
        <v>474214756930.16602</v>
      </c>
      <c r="I5">
        <v>30427876644.6409</v>
      </c>
      <c r="J5">
        <v>26477894186.979</v>
      </c>
      <c r="K5">
        <v>51.934313096852897</v>
      </c>
      <c r="L5">
        <v>48.065686903146997</v>
      </c>
      <c r="M5">
        <v>37.730373064033898</v>
      </c>
      <c r="N5">
        <v>34.416822923145197</v>
      </c>
      <c r="O5">
        <v>45.7039368774523</v>
      </c>
      <c r="P5">
        <v>42.229703066713903</v>
      </c>
      <c r="Q5">
        <v>37.7552281019844</v>
      </c>
      <c r="R5">
        <v>34.439544025735003</v>
      </c>
      <c r="S5">
        <v>4.5276447676840696</v>
      </c>
      <c r="T5">
        <v>5.48447242529428</v>
      </c>
      <c r="U5">
        <v>6.23211757162235</v>
      </c>
      <c r="V5">
        <v>4.5306273722381301</v>
      </c>
      <c r="W5">
        <v>4.1300187507774302</v>
      </c>
      <c r="X5">
        <v>5.0675643680056703</v>
      </c>
      <c r="Y5">
        <v>5.7678824283776402</v>
      </c>
      <c r="Z5">
        <v>4.1327452830882097</v>
      </c>
    </row>
    <row r="6" spans="1:26" x14ac:dyDescent="0.2">
      <c r="A6">
        <v>5</v>
      </c>
      <c r="B6">
        <v>2747628.8515828899</v>
      </c>
      <c r="C6">
        <v>747600118197.56299</v>
      </c>
      <c r="D6">
        <v>746960235338.88196</v>
      </c>
      <c r="E6">
        <v>594012355627.04504</v>
      </c>
      <c r="F6">
        <v>285050596458.32202</v>
      </c>
      <c r="G6">
        <v>236424660769.00601</v>
      </c>
      <c r="H6">
        <v>521475257227.32898</v>
      </c>
      <c r="I6">
        <v>34206071574.998699</v>
      </c>
      <c r="J6">
        <v>28370959292.2808</v>
      </c>
      <c r="K6">
        <v>52.9745309836131</v>
      </c>
      <c r="L6">
        <v>47.025469016386801</v>
      </c>
      <c r="M6">
        <v>37.555971898034002</v>
      </c>
      <c r="N6">
        <v>32.7720079634787</v>
      </c>
      <c r="O6">
        <v>46.2643174258979</v>
      </c>
      <c r="P6">
        <v>40.973390116137097</v>
      </c>
      <c r="Q6">
        <v>37.591267678101701</v>
      </c>
      <c r="R6">
        <v>32.802795659896397</v>
      </c>
      <c r="S6">
        <v>4.5067166277640798</v>
      </c>
      <c r="T6">
        <v>5.5517180911077402</v>
      </c>
      <c r="U6">
        <v>6.3569437180335697</v>
      </c>
      <c r="V6">
        <v>4.5109521213722097</v>
      </c>
      <c r="W6">
        <v>3.93264095561744</v>
      </c>
      <c r="X6">
        <v>4.91680681393645</v>
      </c>
      <c r="Y6">
        <v>5.6430562819664196</v>
      </c>
      <c r="Z6">
        <v>3.9363354791875702</v>
      </c>
    </row>
    <row r="7" spans="1:26" x14ac:dyDescent="0.2">
      <c r="A7">
        <v>6</v>
      </c>
      <c r="B7">
        <v>2748336.9317767601</v>
      </c>
      <c r="C7">
        <v>848372550939.71704</v>
      </c>
      <c r="D7">
        <v>847328049717.32202</v>
      </c>
      <c r="E7">
        <v>658241170858.02002</v>
      </c>
      <c r="F7">
        <v>318613497545.14398</v>
      </c>
      <c r="G7">
        <v>254840055632.14801</v>
      </c>
      <c r="H7">
        <v>573453553177.29297</v>
      </c>
      <c r="I7">
        <v>38233619705.417297</v>
      </c>
      <c r="J7">
        <v>30580806675.8578</v>
      </c>
      <c r="K7">
        <v>53.920322364113503</v>
      </c>
      <c r="L7">
        <v>46.079677635886398</v>
      </c>
      <c r="M7">
        <v>36.886729570245201</v>
      </c>
      <c r="N7">
        <v>30.970918792319502</v>
      </c>
      <c r="O7">
        <v>46.703969538648899</v>
      </c>
      <c r="P7">
        <v>39.771389862995598</v>
      </c>
      <c r="Q7">
        <v>36.9370975207746</v>
      </c>
      <c r="R7">
        <v>31.012271984436801</v>
      </c>
      <c r="S7">
        <v>4.4264075484294203</v>
      </c>
      <c r="T7">
        <v>5.6044763446378703</v>
      </c>
      <c r="U7">
        <v>6.4704386836936196</v>
      </c>
      <c r="V7">
        <v>4.4324517024929504</v>
      </c>
      <c r="W7">
        <v>3.7165102550783402</v>
      </c>
      <c r="X7">
        <v>4.7725667835594701</v>
      </c>
      <c r="Y7">
        <v>5.5295613163063697</v>
      </c>
      <c r="Z7">
        <v>3.7214726381324099</v>
      </c>
    </row>
    <row r="8" spans="1:26" x14ac:dyDescent="0.2">
      <c r="A8">
        <v>7</v>
      </c>
      <c r="B8">
        <v>2747846.3569293302</v>
      </c>
      <c r="C8">
        <v>966503949377.96899</v>
      </c>
      <c r="D8">
        <v>964685388999.18298</v>
      </c>
      <c r="E8">
        <v>731552577110.84595</v>
      </c>
      <c r="F8">
        <v>359308466354.51599</v>
      </c>
      <c r="G8">
        <v>275507418284.08301</v>
      </c>
      <c r="H8">
        <v>634815884638.59998</v>
      </c>
      <c r="I8">
        <v>43117015962.541901</v>
      </c>
      <c r="J8">
        <v>33060890194.09</v>
      </c>
      <c r="K8">
        <v>55.094406449144202</v>
      </c>
      <c r="L8">
        <v>44.905593550855798</v>
      </c>
      <c r="M8">
        <v>36.552091906415001</v>
      </c>
      <c r="N8">
        <v>29.2844842827752</v>
      </c>
      <c r="O8">
        <v>47.338419510968698</v>
      </c>
      <c r="P8">
        <v>38.441494340176497</v>
      </c>
      <c r="Q8">
        <v>36.623663434325898</v>
      </c>
      <c r="R8">
        <v>29.342858202628602</v>
      </c>
      <c r="S8">
        <v>4.3862510287698004</v>
      </c>
      <c r="T8">
        <v>5.6806103413162399</v>
      </c>
      <c r="U8">
        <v>6.6113287738973003</v>
      </c>
      <c r="V8">
        <v>4.3948396121191102</v>
      </c>
      <c r="W8">
        <v>3.5141381139330199</v>
      </c>
      <c r="X8">
        <v>4.6129793208211796</v>
      </c>
      <c r="Y8">
        <v>5.3886712261026899</v>
      </c>
      <c r="Z8">
        <v>3.5211429843154298</v>
      </c>
    </row>
    <row r="9" spans="1:26" x14ac:dyDescent="0.2">
      <c r="A9">
        <v>8</v>
      </c>
      <c r="B9">
        <v>2747984.4327531499</v>
      </c>
      <c r="C9">
        <v>1143798178383.98</v>
      </c>
      <c r="D9">
        <v>1140196475426.96</v>
      </c>
      <c r="E9">
        <v>835115827244.97595</v>
      </c>
      <c r="F9">
        <v>409569714980.22998</v>
      </c>
      <c r="G9">
        <v>308366801492.91101</v>
      </c>
      <c r="H9">
        <v>717936516473.14099</v>
      </c>
      <c r="I9">
        <v>49148365797.627602</v>
      </c>
      <c r="J9">
        <v>37004016179.1493</v>
      </c>
      <c r="K9">
        <v>55.844952033211101</v>
      </c>
      <c r="L9">
        <v>44.1550479667888</v>
      </c>
      <c r="M9">
        <v>35.252940553241103</v>
      </c>
      <c r="N9">
        <v>27.4405102596176</v>
      </c>
      <c r="O9">
        <v>47.558168054513096</v>
      </c>
      <c r="P9">
        <v>37.459835371341804</v>
      </c>
      <c r="Q9">
        <v>35.349225966607797</v>
      </c>
      <c r="R9">
        <v>27.515368634702899</v>
      </c>
      <c r="S9">
        <v>4.2303528663889303</v>
      </c>
      <c r="T9">
        <v>5.7069801665415696</v>
      </c>
      <c r="U9">
        <v>6.7013942439853302</v>
      </c>
      <c r="V9">
        <v>4.2419071159929302</v>
      </c>
      <c r="W9">
        <v>3.2928612311541099</v>
      </c>
      <c r="X9">
        <v>4.4951802445610101</v>
      </c>
      <c r="Y9">
        <v>5.29860575601466</v>
      </c>
      <c r="Z9">
        <v>3.3018442361643401</v>
      </c>
    </row>
    <row r="10" spans="1:26" x14ac:dyDescent="0.2">
      <c r="A10">
        <v>9</v>
      </c>
      <c r="B10">
        <v>2748042.5822946099</v>
      </c>
      <c r="C10">
        <v>1408474249835.2</v>
      </c>
      <c r="D10">
        <v>1401566027182.1899</v>
      </c>
      <c r="E10">
        <v>984734316347.63196</v>
      </c>
      <c r="F10">
        <v>486228487485.66101</v>
      </c>
      <c r="G10">
        <v>345215825394.66803</v>
      </c>
      <c r="H10">
        <v>831444312880.328</v>
      </c>
      <c r="I10">
        <v>58347418498.279297</v>
      </c>
      <c r="J10">
        <v>41425899047.3601</v>
      </c>
      <c r="K10">
        <v>57.472434532631397</v>
      </c>
      <c r="L10">
        <v>42.527565467368603</v>
      </c>
      <c r="M10">
        <v>34.358445420624797</v>
      </c>
      <c r="N10">
        <v>24.9546950001798</v>
      </c>
      <c r="O10">
        <v>48.146248645508102</v>
      </c>
      <c r="P10">
        <v>35.473361868908199</v>
      </c>
      <c r="Q10">
        <v>34.511391973764802</v>
      </c>
      <c r="R10">
        <v>25.0679235157329</v>
      </c>
      <c r="S10">
        <v>4.1230134504749696</v>
      </c>
      <c r="T10">
        <v>5.7775498374609704</v>
      </c>
      <c r="U10">
        <v>6.8966921439157698</v>
      </c>
      <c r="V10">
        <v>4.1413670368517703</v>
      </c>
      <c r="W10">
        <v>2.9945634000215802</v>
      </c>
      <c r="X10">
        <v>4.2568034242689796</v>
      </c>
      <c r="Y10">
        <v>5.1033078560842204</v>
      </c>
      <c r="Z10">
        <v>3.0081508218879498</v>
      </c>
    </row>
    <row r="11" spans="1:26" x14ac:dyDescent="0.2">
      <c r="A11">
        <v>10</v>
      </c>
      <c r="B11">
        <v>2748063.5193039002</v>
      </c>
      <c r="C11">
        <v>2460817957236.1299</v>
      </c>
      <c r="D11">
        <v>2428573096651.0498</v>
      </c>
      <c r="E11">
        <v>1499507913513.8899</v>
      </c>
      <c r="F11">
        <v>728866393195.48303</v>
      </c>
      <c r="G11">
        <v>475598718219.29401</v>
      </c>
      <c r="H11">
        <v>1204465111414.77</v>
      </c>
      <c r="I11">
        <v>87463967183.457901</v>
      </c>
      <c r="J11">
        <v>57071846186.315201</v>
      </c>
      <c r="K11">
        <v>59.858146533347799</v>
      </c>
      <c r="L11">
        <v>40.141853466652101</v>
      </c>
      <c r="M11">
        <v>31.939271202700201</v>
      </c>
      <c r="N11">
        <v>21.03749143992</v>
      </c>
      <c r="O11">
        <v>48.496614984980198</v>
      </c>
      <c r="P11">
        <v>32.342881503227702</v>
      </c>
      <c r="Q11">
        <v>32.247974596968803</v>
      </c>
      <c r="R11">
        <v>21.246466359996301</v>
      </c>
      <c r="S11">
        <v>3.83271254432402</v>
      </c>
      <c r="T11">
        <v>5.81959379819763</v>
      </c>
      <c r="U11">
        <v>7.1829775840017396</v>
      </c>
      <c r="V11">
        <v>3.86975695163625</v>
      </c>
      <c r="W11">
        <v>2.5244989727903899</v>
      </c>
      <c r="X11">
        <v>3.8811457803873202</v>
      </c>
      <c r="Y11">
        <v>4.8170224159982604</v>
      </c>
      <c r="Z11">
        <v>2.5495759631995498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DBA80-D1C3-3E4D-B829-2BD0D82A51FA}">
  <dimension ref="A1:AE11"/>
  <sheetViews>
    <sheetView workbookViewId="0"/>
  </sheetViews>
  <sheetFormatPr baseColWidth="10" defaultRowHeight="16" x14ac:dyDescent="0.2"/>
  <sheetData>
    <row r="1" spans="1:31" x14ac:dyDescent="0.2">
      <c r="A1" t="s">
        <v>19</v>
      </c>
      <c r="B1" t="s">
        <v>18</v>
      </c>
      <c r="C1" t="s">
        <v>67</v>
      </c>
      <c r="D1" t="s">
        <v>66</v>
      </c>
      <c r="E1" t="s">
        <v>65</v>
      </c>
      <c r="F1" t="s">
        <v>64</v>
      </c>
      <c r="G1" t="s">
        <v>63</v>
      </c>
      <c r="H1" t="s">
        <v>62</v>
      </c>
      <c r="I1" t="s">
        <v>61</v>
      </c>
      <c r="J1" t="s">
        <v>60</v>
      </c>
      <c r="K1" t="s">
        <v>59</v>
      </c>
      <c r="L1" t="s">
        <v>58</v>
      </c>
      <c r="M1" t="s">
        <v>57</v>
      </c>
      <c r="N1" t="s">
        <v>56</v>
      </c>
      <c r="O1" t="s">
        <v>55</v>
      </c>
      <c r="P1" t="s">
        <v>54</v>
      </c>
      <c r="Q1" t="s">
        <v>15</v>
      </c>
      <c r="R1" t="s">
        <v>53</v>
      </c>
      <c r="S1" t="s">
        <v>52</v>
      </c>
      <c r="T1" t="s">
        <v>51</v>
      </c>
      <c r="U1" t="s">
        <v>50</v>
      </c>
      <c r="V1" t="s">
        <v>49</v>
      </c>
      <c r="W1" t="s">
        <v>48</v>
      </c>
      <c r="X1" t="s">
        <v>47</v>
      </c>
      <c r="Y1" t="s">
        <v>46</v>
      </c>
      <c r="Z1" t="s">
        <v>45</v>
      </c>
      <c r="AA1" t="s">
        <v>44</v>
      </c>
      <c r="AB1" t="s">
        <v>43</v>
      </c>
      <c r="AC1" t="s">
        <v>42</v>
      </c>
      <c r="AD1" t="s">
        <v>41</v>
      </c>
      <c r="AE1" t="s">
        <v>40</v>
      </c>
    </row>
    <row r="2" spans="1:31" x14ac:dyDescent="0.2">
      <c r="A2">
        <v>1</v>
      </c>
      <c r="B2">
        <v>2747642.50515944</v>
      </c>
      <c r="C2">
        <v>191890060819.966</v>
      </c>
      <c r="D2">
        <v>6393866973.3298798</v>
      </c>
      <c r="E2">
        <v>6778247938.2821703</v>
      </c>
      <c r="F2">
        <v>18032914001.369202</v>
      </c>
      <c r="G2">
        <v>8765249812.4927692</v>
      </c>
      <c r="H2">
        <v>4902513502.2850199</v>
      </c>
      <c r="I2">
        <v>19772271421.687801</v>
      </c>
      <c r="J2">
        <v>6847477961.3308001</v>
      </c>
      <c r="K2">
        <v>2797730507.2653198</v>
      </c>
      <c r="L2">
        <v>9342767419.0976791</v>
      </c>
      <c r="M2">
        <v>10488932869.1056</v>
      </c>
      <c r="N2">
        <v>1418865370.2121201</v>
      </c>
      <c r="O2">
        <v>15302289885.317101</v>
      </c>
      <c r="P2">
        <v>5283248990.3431597</v>
      </c>
      <c r="Q2">
        <v>308016437472.08502</v>
      </c>
      <c r="R2">
        <v>62.298643018802103</v>
      </c>
      <c r="S2">
        <v>2.0758200522689099</v>
      </c>
      <c r="T2">
        <v>2.20061240689353</v>
      </c>
      <c r="U2">
        <v>5.85452976125781</v>
      </c>
      <c r="V2">
        <v>2.8457084577790202</v>
      </c>
      <c r="W2">
        <v>1.5916402197624</v>
      </c>
      <c r="X2">
        <v>6.4192260594792998</v>
      </c>
      <c r="Y2">
        <v>2.2230884875913</v>
      </c>
      <c r="Z2">
        <v>0.90830558597018796</v>
      </c>
      <c r="AA2">
        <v>3.03320416786016</v>
      </c>
      <c r="AB2">
        <v>3.4053159484568698</v>
      </c>
      <c r="AC2">
        <v>0.46064599079739299</v>
      </c>
      <c r="AD2">
        <v>4.9680108019247902</v>
      </c>
      <c r="AE2">
        <v>1.7152490411561101</v>
      </c>
    </row>
    <row r="3" spans="1:31" x14ac:dyDescent="0.2">
      <c r="A3">
        <v>2</v>
      </c>
      <c r="B3">
        <v>2748295.6540946802</v>
      </c>
      <c r="C3">
        <v>212601236196.29901</v>
      </c>
      <c r="D3">
        <v>8153451183.3418798</v>
      </c>
      <c r="E3">
        <v>7850182463.6407099</v>
      </c>
      <c r="F3">
        <v>22457085137.848099</v>
      </c>
      <c r="G3">
        <v>10576930449.723</v>
      </c>
      <c r="H3">
        <v>7061566679.2059002</v>
      </c>
      <c r="I3">
        <v>26514805596.173401</v>
      </c>
      <c r="J3">
        <v>10575955281.252001</v>
      </c>
      <c r="K3">
        <v>3103826500.79918</v>
      </c>
      <c r="L3">
        <v>11863216488.0734</v>
      </c>
      <c r="M3">
        <v>16605330609.6243</v>
      </c>
      <c r="N3">
        <v>3132021283.8799801</v>
      </c>
      <c r="O3">
        <v>17777068114.3013</v>
      </c>
      <c r="P3">
        <v>6860400898.7894697</v>
      </c>
      <c r="Q3">
        <v>365133076882.95203</v>
      </c>
      <c r="R3">
        <v>58.225685279247102</v>
      </c>
      <c r="S3">
        <v>2.2330081002098701</v>
      </c>
      <c r="T3">
        <v>2.14995106185824</v>
      </c>
      <c r="U3">
        <v>6.1503836709504602</v>
      </c>
      <c r="V3">
        <v>2.8967330322455598</v>
      </c>
      <c r="W3">
        <v>1.9339706880265899</v>
      </c>
      <c r="X3">
        <v>7.26168273291578</v>
      </c>
      <c r="Y3">
        <v>2.8964659601743601</v>
      </c>
      <c r="Z3">
        <v>0.85005350030069804</v>
      </c>
      <c r="AA3">
        <v>3.2490117272712302</v>
      </c>
      <c r="AB3">
        <v>4.5477475640880902</v>
      </c>
      <c r="AC3">
        <v>0.85777528308781104</v>
      </c>
      <c r="AD3">
        <v>4.8686545371511096</v>
      </c>
      <c r="AE3">
        <v>1.8788768624729799</v>
      </c>
    </row>
    <row r="4" spans="1:31" x14ac:dyDescent="0.2">
      <c r="A4">
        <v>3</v>
      </c>
      <c r="B4">
        <v>2747874.69444041</v>
      </c>
      <c r="C4">
        <v>221700579362.465</v>
      </c>
      <c r="D4">
        <v>8678174293.4767704</v>
      </c>
      <c r="E4">
        <v>8354578808.04568</v>
      </c>
      <c r="F4">
        <v>26985174361.091801</v>
      </c>
      <c r="G4">
        <v>11695912015.101</v>
      </c>
      <c r="H4">
        <v>8440120974.9664297</v>
      </c>
      <c r="I4">
        <v>31780764590.493</v>
      </c>
      <c r="J4">
        <v>13642613190.275101</v>
      </c>
      <c r="K4">
        <v>3139464950.08004</v>
      </c>
      <c r="L4">
        <v>12818096037.7934</v>
      </c>
      <c r="M4">
        <v>22105918045.938301</v>
      </c>
      <c r="N4">
        <v>4657713639.3109398</v>
      </c>
      <c r="O4">
        <v>19234599868.403099</v>
      </c>
      <c r="P4">
        <v>8191777063.6686201</v>
      </c>
      <c r="Q4">
        <v>401425487201.10901</v>
      </c>
      <c r="R4">
        <v>55.228326658639801</v>
      </c>
      <c r="S4">
        <v>2.1618393874251098</v>
      </c>
      <c r="T4">
        <v>2.0812277930574199</v>
      </c>
      <c r="U4">
        <v>6.7223370766123098</v>
      </c>
      <c r="V4">
        <v>2.9135947736276999</v>
      </c>
      <c r="W4">
        <v>2.1025373933812999</v>
      </c>
      <c r="X4">
        <v>7.9169772731872303</v>
      </c>
      <c r="Y4">
        <v>3.3985418527848399</v>
      </c>
      <c r="Z4">
        <v>0.78207912805177904</v>
      </c>
      <c r="AA4">
        <v>3.19314454275588</v>
      </c>
      <c r="AB4">
        <v>5.5068546344850002</v>
      </c>
      <c r="AC4">
        <v>1.16029345116731</v>
      </c>
      <c r="AD4">
        <v>4.7915741480477498</v>
      </c>
      <c r="AE4">
        <v>2.0406718867764901</v>
      </c>
    </row>
    <row r="5" spans="1:31" x14ac:dyDescent="0.2">
      <c r="A5">
        <v>4</v>
      </c>
      <c r="B5">
        <v>2747979.4784429399</v>
      </c>
      <c r="C5">
        <v>234936076475.33099</v>
      </c>
      <c r="D5">
        <v>9952391253.0630302</v>
      </c>
      <c r="E5">
        <v>9250353489.3843193</v>
      </c>
      <c r="F5">
        <v>31863305667.382401</v>
      </c>
      <c r="G5">
        <v>13359507664.621799</v>
      </c>
      <c r="H5">
        <v>11196655471.340099</v>
      </c>
      <c r="I5">
        <v>36678052125.1679</v>
      </c>
      <c r="J5">
        <v>18208014425.793098</v>
      </c>
      <c r="K5">
        <v>3468359589.3556399</v>
      </c>
      <c r="L5">
        <v>14985316026.225901</v>
      </c>
      <c r="M5">
        <v>27705083467.183201</v>
      </c>
      <c r="N5">
        <v>7284448631.2837095</v>
      </c>
      <c r="O5">
        <v>21425813501.494301</v>
      </c>
      <c r="P5">
        <v>9423567255.3550301</v>
      </c>
      <c r="Q5">
        <v>449736945042.98199</v>
      </c>
      <c r="R5">
        <v>52.238553906857298</v>
      </c>
      <c r="S5">
        <v>2.2129361091541702</v>
      </c>
      <c r="T5">
        <v>2.0568364665927601</v>
      </c>
      <c r="U5">
        <v>7.0848761745240099</v>
      </c>
      <c r="V5">
        <v>2.9705159453477998</v>
      </c>
      <c r="W5">
        <v>2.48960099781663</v>
      </c>
      <c r="X5">
        <v>8.1554456509376703</v>
      </c>
      <c r="Y5">
        <v>4.0485920995556501</v>
      </c>
      <c r="Z5">
        <v>0.77119739162726797</v>
      </c>
      <c r="AA5">
        <v>3.33201801439589</v>
      </c>
      <c r="AB5">
        <v>6.1602863123765399</v>
      </c>
      <c r="AC5">
        <v>1.6197131926947901</v>
      </c>
      <c r="AD5">
        <v>4.7640768092660499</v>
      </c>
      <c r="AE5">
        <v>2.09535092885339</v>
      </c>
    </row>
    <row r="6" spans="1:31" x14ac:dyDescent="0.2">
      <c r="A6">
        <v>5</v>
      </c>
      <c r="B6">
        <v>2747628.8515828899</v>
      </c>
      <c r="C6">
        <v>245593611138.43399</v>
      </c>
      <c r="D6">
        <v>10714410961.436501</v>
      </c>
      <c r="E6">
        <v>10071200855.9135</v>
      </c>
      <c r="F6">
        <v>36216485018.224899</v>
      </c>
      <c r="G6">
        <v>14858836567.8463</v>
      </c>
      <c r="H6">
        <v>13855917182.591299</v>
      </c>
      <c r="I6">
        <v>41125984215.206902</v>
      </c>
      <c r="J6">
        <v>22100671447.2103</v>
      </c>
      <c r="K6">
        <v>3661138913.49546</v>
      </c>
      <c r="L6">
        <v>16135797471.8943</v>
      </c>
      <c r="M6">
        <v>34257808736.750198</v>
      </c>
      <c r="N6">
        <v>9595461218.9345207</v>
      </c>
      <c r="O6">
        <v>23092587554.092499</v>
      </c>
      <c r="P6">
        <v>10798039854.4132</v>
      </c>
      <c r="Q6">
        <v>492077951136.44397</v>
      </c>
      <c r="R6">
        <v>49.909493114097103</v>
      </c>
      <c r="S6">
        <v>2.1773808268978101</v>
      </c>
      <c r="T6">
        <v>2.0466677754315699</v>
      </c>
      <c r="U6">
        <v>7.3599081069541104</v>
      </c>
      <c r="V6">
        <v>3.0196103144898299</v>
      </c>
      <c r="W6">
        <v>2.8157972025756002</v>
      </c>
      <c r="X6">
        <v>8.3576157233274309</v>
      </c>
      <c r="Y6">
        <v>4.4912948032256397</v>
      </c>
      <c r="Z6">
        <v>0.74401604563669799</v>
      </c>
      <c r="AA6">
        <v>3.2791140986156702</v>
      </c>
      <c r="AB6">
        <v>6.9618662363620496</v>
      </c>
      <c r="AC6">
        <v>1.9499880449375899</v>
      </c>
      <c r="AD6">
        <v>4.6928718307253199</v>
      </c>
      <c r="AE6">
        <v>2.1943758767234698</v>
      </c>
    </row>
    <row r="7" spans="1:31" x14ac:dyDescent="0.2">
      <c r="A7">
        <v>6</v>
      </c>
      <c r="B7">
        <v>2748336.9317767601</v>
      </c>
      <c r="C7">
        <v>255464058388.06201</v>
      </c>
      <c r="D7">
        <v>11428521947.4275</v>
      </c>
      <c r="E7">
        <v>11451093060.122299</v>
      </c>
      <c r="F7">
        <v>39735805786.481697</v>
      </c>
      <c r="G7">
        <v>16993535641.8232</v>
      </c>
      <c r="H7">
        <v>16376740676.183399</v>
      </c>
      <c r="I7">
        <v>46758482089.938301</v>
      </c>
      <c r="J7">
        <v>26876994270.805599</v>
      </c>
      <c r="K7">
        <v>4225804034.02002</v>
      </c>
      <c r="L7">
        <v>19187768924.907398</v>
      </c>
      <c r="M7">
        <v>39474411213.675903</v>
      </c>
      <c r="N7">
        <v>13489440042.2701</v>
      </c>
      <c r="O7">
        <v>24990658394.869202</v>
      </c>
      <c r="P7">
        <v>12237277375.875401</v>
      </c>
      <c r="Q7">
        <v>538690591846.46301</v>
      </c>
      <c r="R7">
        <v>47.423152038429201</v>
      </c>
      <c r="S7">
        <v>2.12153732038536</v>
      </c>
      <c r="T7">
        <v>2.1257273160965302</v>
      </c>
      <c r="U7">
        <v>7.3763689932433802</v>
      </c>
      <c r="V7">
        <v>3.1546004142330801</v>
      </c>
      <c r="W7">
        <v>3.0401014838683298</v>
      </c>
      <c r="X7">
        <v>8.6800257508980803</v>
      </c>
      <c r="Y7">
        <v>4.9893194122213496</v>
      </c>
      <c r="Z7">
        <v>0.78445848098725601</v>
      </c>
      <c r="AA7">
        <v>3.5619276102702599</v>
      </c>
      <c r="AB7">
        <v>7.3278449282676199</v>
      </c>
      <c r="AC7">
        <v>2.5041165088910402</v>
      </c>
      <c r="AD7">
        <v>4.6391488496595201</v>
      </c>
      <c r="AE7">
        <v>2.27167089254888</v>
      </c>
    </row>
    <row r="8" spans="1:31" x14ac:dyDescent="0.2">
      <c r="A8">
        <v>7</v>
      </c>
      <c r="B8">
        <v>2747846.3569293302</v>
      </c>
      <c r="C8">
        <v>264738666058.95599</v>
      </c>
      <c r="D8">
        <v>11467711248.169201</v>
      </c>
      <c r="E8">
        <v>13015125274.756001</v>
      </c>
      <c r="F8">
        <v>45340695796.936401</v>
      </c>
      <c r="G8">
        <v>18922742746.626301</v>
      </c>
      <c r="H8">
        <v>20680997547.4342</v>
      </c>
      <c r="I8">
        <v>53515314626.887802</v>
      </c>
      <c r="J8">
        <v>32458128192.472401</v>
      </c>
      <c r="K8">
        <v>4719312165.0395498</v>
      </c>
      <c r="L8">
        <v>21628672380.561901</v>
      </c>
      <c r="M8">
        <v>47894843831.813202</v>
      </c>
      <c r="N8">
        <v>18216189878.355099</v>
      </c>
      <c r="O8">
        <v>27407822590.562401</v>
      </c>
      <c r="P8">
        <v>13960077907.430401</v>
      </c>
      <c r="Q8">
        <v>593966300246.00098</v>
      </c>
      <c r="R8">
        <v>44.571327691370598</v>
      </c>
      <c r="S8">
        <v>1.93070065480477</v>
      </c>
      <c r="T8">
        <v>2.1912228470479902</v>
      </c>
      <c r="U8">
        <v>7.6335468490649703</v>
      </c>
      <c r="V8">
        <v>3.1858276704905801</v>
      </c>
      <c r="W8">
        <v>3.4818469564466499</v>
      </c>
      <c r="X8">
        <v>9.0098233863981108</v>
      </c>
      <c r="Y8">
        <v>5.4646413742714604</v>
      </c>
      <c r="Z8">
        <v>0.79454207470776805</v>
      </c>
      <c r="AA8">
        <v>3.6413972260049201</v>
      </c>
      <c r="AB8">
        <v>8.0635624970603104</v>
      </c>
      <c r="AC8">
        <v>3.06687262742189</v>
      </c>
      <c r="AD8">
        <v>4.6143733372096998</v>
      </c>
      <c r="AE8">
        <v>2.3503148077001299</v>
      </c>
    </row>
    <row r="9" spans="1:31" x14ac:dyDescent="0.2">
      <c r="A9">
        <v>8</v>
      </c>
      <c r="B9">
        <v>2747984.4327531499</v>
      </c>
      <c r="C9">
        <v>277728529872.52698</v>
      </c>
      <c r="D9">
        <v>11854483257.9744</v>
      </c>
      <c r="E9">
        <v>15650142781.039499</v>
      </c>
      <c r="F9">
        <v>49002123945.425598</v>
      </c>
      <c r="G9">
        <v>23051404421.3997</v>
      </c>
      <c r="H9">
        <v>27405891132.764</v>
      </c>
      <c r="I9">
        <v>63651423421.983704</v>
      </c>
      <c r="J9">
        <v>39492210445.428001</v>
      </c>
      <c r="K9">
        <v>6094040337.3159599</v>
      </c>
      <c r="L9">
        <v>28682892795.3018</v>
      </c>
      <c r="M9">
        <v>53513772423.688599</v>
      </c>
      <c r="N9">
        <v>25288863204.883801</v>
      </c>
      <c r="O9">
        <v>30331109036.259102</v>
      </c>
      <c r="P9">
        <v>16474879447.9422</v>
      </c>
      <c r="Q9">
        <v>668221766523.93396</v>
      </c>
      <c r="R9">
        <v>41.562329122749297</v>
      </c>
      <c r="S9">
        <v>1.77403428799409</v>
      </c>
      <c r="T9">
        <v>2.3420582155608298</v>
      </c>
      <c r="U9">
        <v>7.3332127746051903</v>
      </c>
      <c r="V9">
        <v>3.4496638056722202</v>
      </c>
      <c r="W9">
        <v>4.1013167343124</v>
      </c>
      <c r="X9">
        <v>9.5254938720563</v>
      </c>
      <c r="Y9">
        <v>5.91004550044293</v>
      </c>
      <c r="Z9">
        <v>0.91197872362298804</v>
      </c>
      <c r="AA9">
        <v>4.2924212038930101</v>
      </c>
      <c r="AB9">
        <v>8.0083851057509392</v>
      </c>
      <c r="AC9">
        <v>3.7845015639696298</v>
      </c>
      <c r="AD9">
        <v>4.5390782754714101</v>
      </c>
      <c r="AE9">
        <v>2.4654808138986501</v>
      </c>
    </row>
    <row r="10" spans="1:31" x14ac:dyDescent="0.2">
      <c r="A10">
        <v>9</v>
      </c>
      <c r="B10">
        <v>2748042.5822946099</v>
      </c>
      <c r="C10">
        <v>286747650865.62097</v>
      </c>
      <c r="D10">
        <v>10854738627.8487</v>
      </c>
      <c r="E10">
        <v>19821110373.595001</v>
      </c>
      <c r="F10">
        <v>59117298304.315903</v>
      </c>
      <c r="G10">
        <v>30399942222.129002</v>
      </c>
      <c r="H10">
        <v>35183026643.2855</v>
      </c>
      <c r="I10">
        <v>78971940929.077698</v>
      </c>
      <c r="J10">
        <v>48928172652.0326</v>
      </c>
      <c r="K10">
        <v>8284310522.8216696</v>
      </c>
      <c r="L10">
        <v>36653516514.909203</v>
      </c>
      <c r="M10">
        <v>62914109422.8592</v>
      </c>
      <c r="N10">
        <v>37917454258.722298</v>
      </c>
      <c r="O10">
        <v>34600979237.085701</v>
      </c>
      <c r="P10">
        <v>20594356906.988499</v>
      </c>
      <c r="Q10">
        <v>770988607481.29297</v>
      </c>
      <c r="R10">
        <v>37.1922033715108</v>
      </c>
      <c r="S10">
        <v>1.40789870596267</v>
      </c>
      <c r="T10">
        <v>2.57086942417317</v>
      </c>
      <c r="U10">
        <v>7.6677265695849197</v>
      </c>
      <c r="V10">
        <v>3.9429820268604399</v>
      </c>
      <c r="W10">
        <v>4.5633653081104901</v>
      </c>
      <c r="X10">
        <v>10.2429452475397</v>
      </c>
      <c r="Y10">
        <v>6.3461602645302104</v>
      </c>
      <c r="Z10">
        <v>1.07450492036261</v>
      </c>
      <c r="AA10">
        <v>4.7540931421348596</v>
      </c>
      <c r="AB10">
        <v>8.16018665027884</v>
      </c>
      <c r="AC10">
        <v>4.9180304210451302</v>
      </c>
      <c r="AD10">
        <v>4.4878716626075796</v>
      </c>
      <c r="AE10">
        <v>2.6711622852985202</v>
      </c>
    </row>
    <row r="11" spans="1:31" x14ac:dyDescent="0.2">
      <c r="A11">
        <v>10</v>
      </c>
      <c r="B11">
        <v>2748063.5193039002</v>
      </c>
      <c r="C11">
        <v>315309923564.59802</v>
      </c>
      <c r="D11">
        <v>10891392393.019899</v>
      </c>
      <c r="E11">
        <v>34585686868.701797</v>
      </c>
      <c r="F11">
        <v>84537655227.0327</v>
      </c>
      <c r="G11">
        <v>70634511143.567596</v>
      </c>
      <c r="H11">
        <v>64558861707.260498</v>
      </c>
      <c r="I11">
        <v>140052233029.43301</v>
      </c>
      <c r="J11">
        <v>70853698829.4552</v>
      </c>
      <c r="K11">
        <v>19640148363.073898</v>
      </c>
      <c r="L11">
        <v>62771536041.016701</v>
      </c>
      <c r="M11">
        <v>86835612712.367004</v>
      </c>
      <c r="N11">
        <v>72691251733.039597</v>
      </c>
      <c r="O11">
        <v>48134178464.375198</v>
      </c>
      <c r="P11">
        <v>33673232964.562801</v>
      </c>
      <c r="Q11">
        <v>1115169923041.5</v>
      </c>
      <c r="R11">
        <v>28.274607936396301</v>
      </c>
      <c r="S11">
        <v>0.97665765261269399</v>
      </c>
      <c r="T11">
        <v>3.1013826820555801</v>
      </c>
      <c r="U11">
        <v>7.5806972085891102</v>
      </c>
      <c r="V11">
        <v>6.3339684548628803</v>
      </c>
      <c r="W11">
        <v>5.7891501889849399</v>
      </c>
      <c r="X11">
        <v>12.5588244567658</v>
      </c>
      <c r="Y11">
        <v>6.3536235478992698</v>
      </c>
      <c r="Z11">
        <v>1.7611798845424</v>
      </c>
      <c r="AA11">
        <v>5.6288763482621702</v>
      </c>
      <c r="AB11">
        <v>7.7867606468019002</v>
      </c>
      <c r="AC11">
        <v>6.5184013871878896</v>
      </c>
      <c r="AD11">
        <v>4.3163088843980297</v>
      </c>
      <c r="AE11">
        <v>3.0195607206409099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05EF0-DD62-AC42-91A0-E03675CFC1A0}">
  <dimension ref="A1:U17"/>
  <sheetViews>
    <sheetView tabSelected="1" workbookViewId="0">
      <selection activeCell="D19" sqref="D19"/>
    </sheetView>
  </sheetViews>
  <sheetFormatPr baseColWidth="10" defaultRowHeight="16" x14ac:dyDescent="0.2"/>
  <cols>
    <col min="2" max="2" width="13" bestFit="1" customWidth="1"/>
    <col min="3" max="4" width="18.6640625" bestFit="1" customWidth="1"/>
    <col min="5" max="6" width="17.6640625" bestFit="1" customWidth="1"/>
    <col min="7" max="7" width="17.5" bestFit="1" customWidth="1"/>
    <col min="8" max="8" width="17.6640625" bestFit="1" customWidth="1"/>
    <col min="9" max="10" width="16" bestFit="1" customWidth="1"/>
    <col min="11" max="11" width="16.6640625" bestFit="1" customWidth="1"/>
    <col min="12" max="12" width="16.33203125" bestFit="1" customWidth="1"/>
    <col min="13" max="13" width="16.83203125" bestFit="1" customWidth="1"/>
    <col min="14" max="21" width="11" bestFit="1" customWidth="1"/>
  </cols>
  <sheetData>
    <row r="1" spans="1:21" s="3" customFormat="1" ht="68" x14ac:dyDescent="0.2">
      <c r="A1" s="3" t="s">
        <v>19</v>
      </c>
      <c r="B1" s="3" t="s">
        <v>18</v>
      </c>
      <c r="C1" s="3" t="s">
        <v>17</v>
      </c>
      <c r="D1" s="3" t="s">
        <v>16</v>
      </c>
      <c r="E1" s="3" t="s">
        <v>15</v>
      </c>
      <c r="F1" s="3" t="s">
        <v>83</v>
      </c>
      <c r="G1" s="3" t="s">
        <v>82</v>
      </c>
      <c r="H1" s="3" t="s">
        <v>81</v>
      </c>
      <c r="I1" s="3" t="s">
        <v>80</v>
      </c>
      <c r="J1" s="3" t="s">
        <v>79</v>
      </c>
      <c r="K1" s="3" t="s">
        <v>78</v>
      </c>
      <c r="L1" s="3" t="s">
        <v>77</v>
      </c>
      <c r="M1" s="3" t="s">
        <v>76</v>
      </c>
      <c r="N1" s="3" t="s">
        <v>75</v>
      </c>
      <c r="O1" s="3" t="s">
        <v>74</v>
      </c>
      <c r="P1" s="3" t="s">
        <v>73</v>
      </c>
      <c r="Q1" s="3" t="s">
        <v>72</v>
      </c>
      <c r="R1" s="3" t="s">
        <v>71</v>
      </c>
      <c r="S1" s="3" t="s">
        <v>70</v>
      </c>
      <c r="T1" s="3" t="s">
        <v>69</v>
      </c>
      <c r="U1" s="3" t="s">
        <v>68</v>
      </c>
    </row>
    <row r="2" spans="1:21" x14ac:dyDescent="0.2">
      <c r="A2" s="10">
        <v>1</v>
      </c>
      <c r="B2" s="2">
        <v>2747642.50515944</v>
      </c>
      <c r="C2" s="2">
        <v>150775643277.01999</v>
      </c>
      <c r="D2" s="2">
        <v>167588911060.129</v>
      </c>
      <c r="E2" s="2">
        <v>318364554337.14899</v>
      </c>
      <c r="F2" s="2">
        <v>140999601954.961</v>
      </c>
      <c r="G2" s="2">
        <v>3537373796.20614</v>
      </c>
      <c r="H2" s="2">
        <v>8188416.6556482203</v>
      </c>
      <c r="I2" s="2">
        <v>1854357025.7479701</v>
      </c>
      <c r="J2" s="2">
        <v>8882945031.1144295</v>
      </c>
      <c r="K2" s="2">
        <v>406203439.84789598</v>
      </c>
      <c r="L2" s="2">
        <v>8480848276.17766</v>
      </c>
      <c r="M2" s="2">
        <v>1344676652.5860701</v>
      </c>
      <c r="N2" s="7">
        <v>44.2887249959497</v>
      </c>
      <c r="O2" s="7">
        <v>1.1111079258088601</v>
      </c>
      <c r="P2" s="7">
        <v>2.5720252283414199E-3</v>
      </c>
      <c r="Q2" s="7">
        <v>0.58246340570445598</v>
      </c>
      <c r="R2" s="7">
        <v>2.79018028549351</v>
      </c>
      <c r="S2" s="7">
        <v>0.12759066118199899</v>
      </c>
      <c r="T2" s="7">
        <v>2.6638795558868602</v>
      </c>
      <c r="U2" s="7">
        <v>0.42237008934168402</v>
      </c>
    </row>
    <row r="3" spans="1:21" x14ac:dyDescent="0.2">
      <c r="A3" s="10">
        <v>2</v>
      </c>
      <c r="B3" s="2">
        <v>2748295.6540946802</v>
      </c>
      <c r="C3" s="2">
        <v>191876396739.00101</v>
      </c>
      <c r="D3" s="2">
        <v>188674065076.42499</v>
      </c>
      <c r="E3" s="2">
        <v>380550461815.427</v>
      </c>
      <c r="F3" s="2">
        <v>150882067693.62601</v>
      </c>
      <c r="G3" s="2">
        <v>5425254924.8467598</v>
      </c>
      <c r="H3" s="2">
        <v>42173930.142095603</v>
      </c>
      <c r="I3" s="2">
        <v>3059604444.7799101</v>
      </c>
      <c r="J3" s="2">
        <v>11684543435.4163</v>
      </c>
      <c r="K3" s="2">
        <v>531919628.67199498</v>
      </c>
      <c r="L3" s="2">
        <v>10941002577.4338</v>
      </c>
      <c r="M3" s="2">
        <v>3014006215.8997302</v>
      </c>
      <c r="N3" s="7">
        <v>39.648373299519697</v>
      </c>
      <c r="O3" s="7">
        <v>1.4256335149260899</v>
      </c>
      <c r="P3" s="7">
        <v>1.10823489586384E-2</v>
      </c>
      <c r="Q3" s="7">
        <v>0.80399441119686998</v>
      </c>
      <c r="R3" s="7">
        <v>3.0704320734955401</v>
      </c>
      <c r="S3" s="7">
        <v>0.13977637187311601</v>
      </c>
      <c r="T3" s="7">
        <v>2.8750464590791598</v>
      </c>
      <c r="U3" s="7">
        <v>0.79201223446723001</v>
      </c>
    </row>
    <row r="4" spans="1:21" x14ac:dyDescent="0.2">
      <c r="A4" s="10">
        <v>3</v>
      </c>
      <c r="B4" s="2">
        <v>2747874.69444041</v>
      </c>
      <c r="C4" s="2">
        <v>220499346450.54599</v>
      </c>
      <c r="D4" s="2">
        <v>200565384746.526</v>
      </c>
      <c r="E4" s="2">
        <v>421064731197.073</v>
      </c>
      <c r="F4" s="2">
        <v>154484417430.47699</v>
      </c>
      <c r="G4" s="2">
        <v>7282506288.1461496</v>
      </c>
      <c r="H4" s="2">
        <v>78544150.432546496</v>
      </c>
      <c r="I4" s="2">
        <v>3735882204.2408099</v>
      </c>
      <c r="J4" s="2">
        <v>14114773983.502199</v>
      </c>
      <c r="K4" s="2">
        <v>545801718.75081205</v>
      </c>
      <c r="L4" s="2">
        <v>11880035713.382299</v>
      </c>
      <c r="M4" s="2">
        <v>4504919326.6888599</v>
      </c>
      <c r="N4" s="7">
        <v>36.6889948230247</v>
      </c>
      <c r="O4" s="7">
        <v>1.7295455421882999</v>
      </c>
      <c r="P4" s="7">
        <v>1.8653699683953098E-2</v>
      </c>
      <c r="Q4" s="7">
        <v>0.88724652706481</v>
      </c>
      <c r="R4" s="7">
        <v>3.3521624913524399</v>
      </c>
      <c r="S4" s="7">
        <v>0.12962418324591399</v>
      </c>
      <c r="T4" s="7">
        <v>2.82142740371718</v>
      </c>
      <c r="U4" s="7">
        <v>1.06988759516417</v>
      </c>
    </row>
    <row r="5" spans="1:21" x14ac:dyDescent="0.2">
      <c r="A5" s="10">
        <v>4</v>
      </c>
      <c r="B5" s="2">
        <v>2747979.4784429399</v>
      </c>
      <c r="C5" s="2">
        <v>253565638705.341</v>
      </c>
      <c r="D5" s="2">
        <v>220649118224.82501</v>
      </c>
      <c r="E5" s="2">
        <v>474214756930.16602</v>
      </c>
      <c r="F5" s="2">
        <v>161970275916.49799</v>
      </c>
      <c r="G5" s="2">
        <v>8989050481.9321308</v>
      </c>
      <c r="H5" s="2">
        <v>244858470.12161899</v>
      </c>
      <c r="I5" s="2">
        <v>5654506934.4533701</v>
      </c>
      <c r="J5" s="2">
        <v>17177053749.2183</v>
      </c>
      <c r="K5" s="2">
        <v>670259187.56586397</v>
      </c>
      <c r="L5" s="2">
        <v>14007521450.4774</v>
      </c>
      <c r="M5" s="2">
        <v>7026159782.0802298</v>
      </c>
      <c r="N5" s="7">
        <v>34.155469341573003</v>
      </c>
      <c r="O5" s="7">
        <v>1.89556532152707</v>
      </c>
      <c r="P5" s="7">
        <v>5.1634510850466303E-2</v>
      </c>
      <c r="Q5" s="7">
        <v>1.1923937101953199</v>
      </c>
      <c r="R5" s="7">
        <v>3.6222098739428001</v>
      </c>
      <c r="S5" s="7">
        <v>0.14134085406890101</v>
      </c>
      <c r="T5" s="7">
        <v>2.9538349968599098</v>
      </c>
      <c r="U5" s="7">
        <v>1.4816408978</v>
      </c>
    </row>
    <row r="6" spans="1:21" x14ac:dyDescent="0.2">
      <c r="A6" s="10">
        <v>5</v>
      </c>
      <c r="B6" s="2">
        <v>2747628.8515828899</v>
      </c>
      <c r="C6" s="2">
        <v>285050596458.32202</v>
      </c>
      <c r="D6" s="2">
        <v>236424660769.00601</v>
      </c>
      <c r="E6" s="2">
        <v>521475257227.32898</v>
      </c>
      <c r="F6" s="2">
        <v>167398625937.41299</v>
      </c>
      <c r="G6" s="2">
        <v>10841505818.604099</v>
      </c>
      <c r="H6" s="2">
        <v>351419762.10856801</v>
      </c>
      <c r="I6" s="2">
        <v>7591602044.3391104</v>
      </c>
      <c r="J6" s="2">
        <v>19101959085.161098</v>
      </c>
      <c r="K6" s="2">
        <v>894540135.75115204</v>
      </c>
      <c r="L6" s="2">
        <v>15105479197.7745</v>
      </c>
      <c r="M6" s="2">
        <v>9245941545.0697594</v>
      </c>
      <c r="N6" s="7">
        <v>32.100971928652399</v>
      </c>
      <c r="O6" s="7">
        <v>2.0790067540784398</v>
      </c>
      <c r="P6" s="7">
        <v>6.7389537132990299E-2</v>
      </c>
      <c r="Q6" s="7">
        <v>1.4557933361408999</v>
      </c>
      <c r="R6" s="7">
        <v>3.6630614435526101</v>
      </c>
      <c r="S6" s="7">
        <v>0.17154028371497301</v>
      </c>
      <c r="T6" s="7">
        <v>2.8966818633140701</v>
      </c>
      <c r="U6" s="7">
        <v>1.7730355212307001</v>
      </c>
    </row>
    <row r="7" spans="1:21" x14ac:dyDescent="0.2">
      <c r="A7" s="10">
        <v>6</v>
      </c>
      <c r="B7" s="2">
        <v>2748336.9317767601</v>
      </c>
      <c r="C7" s="2">
        <v>318613497545.14398</v>
      </c>
      <c r="D7" s="2">
        <v>254840055632.14801</v>
      </c>
      <c r="E7" s="2">
        <v>573453553177.29297</v>
      </c>
      <c r="F7" s="2">
        <v>172772736423.65399</v>
      </c>
      <c r="G7" s="2">
        <v>11994744619.2362</v>
      </c>
      <c r="H7" s="2">
        <v>758166252.07219696</v>
      </c>
      <c r="I7" s="2">
        <v>8723980374.9396095</v>
      </c>
      <c r="J7" s="2">
        <v>21579888079.471699</v>
      </c>
      <c r="K7" s="2">
        <v>938333759.68003702</v>
      </c>
      <c r="L7" s="2">
        <v>18125275294.402699</v>
      </c>
      <c r="M7" s="2">
        <v>12972058378.0159</v>
      </c>
      <c r="N7" s="7">
        <v>30.1284620988718</v>
      </c>
      <c r="O7" s="7">
        <v>2.0916680266043901</v>
      </c>
      <c r="P7" s="7">
        <v>0.13221057710279699</v>
      </c>
      <c r="Q7" s="7">
        <v>1.5213054878818399</v>
      </c>
      <c r="R7" s="7">
        <v>3.7631448893995998</v>
      </c>
      <c r="S7" s="7">
        <v>0.16362855448031899</v>
      </c>
      <c r="T7" s="7">
        <v>3.1607224672298799</v>
      </c>
      <c r="U7" s="7">
        <v>2.2620939928164301</v>
      </c>
    </row>
    <row r="8" spans="1:21" x14ac:dyDescent="0.2">
      <c r="A8" s="10">
        <v>7</v>
      </c>
      <c r="B8" s="2">
        <v>2747846.3569293302</v>
      </c>
      <c r="C8" s="2">
        <v>359308466354.51599</v>
      </c>
      <c r="D8" s="2">
        <v>275507418284.08301</v>
      </c>
      <c r="E8" s="2">
        <v>634815884638.59998</v>
      </c>
      <c r="F8" s="2">
        <v>177755926165.67599</v>
      </c>
      <c r="G8" s="2">
        <v>13371065472.9998</v>
      </c>
      <c r="H8" s="2">
        <v>1185375075.26389</v>
      </c>
      <c r="I8" s="2">
        <v>12010142555.2127</v>
      </c>
      <c r="J8" s="2">
        <v>24061547253.981499</v>
      </c>
      <c r="K8" s="2">
        <v>1041547086.19872</v>
      </c>
      <c r="L8" s="2">
        <v>20386774788.454498</v>
      </c>
      <c r="M8" s="2">
        <v>17483124155.952099</v>
      </c>
      <c r="N8" s="7">
        <v>28.0011780528889</v>
      </c>
      <c r="O8" s="7">
        <v>2.1062903113415201</v>
      </c>
      <c r="P8" s="7">
        <v>0.18672738095372801</v>
      </c>
      <c r="Q8" s="7">
        <v>1.89190958289427</v>
      </c>
      <c r="R8" s="7">
        <v>3.7903190257565398</v>
      </c>
      <c r="S8" s="7">
        <v>0.16407073474408701</v>
      </c>
      <c r="T8" s="7">
        <v>3.2114468591252501</v>
      </c>
      <c r="U8" s="7">
        <v>2.7540464218070499</v>
      </c>
    </row>
    <row r="9" spans="1:21" x14ac:dyDescent="0.2">
      <c r="A9" s="10">
        <v>8</v>
      </c>
      <c r="B9" s="2">
        <v>2747984.4327531499</v>
      </c>
      <c r="C9" s="2">
        <v>409569714980.22998</v>
      </c>
      <c r="D9" s="2">
        <v>308366801492.91101</v>
      </c>
      <c r="E9" s="2">
        <v>717936516473.14099</v>
      </c>
      <c r="F9" s="2">
        <v>184252311427.01099</v>
      </c>
      <c r="G9" s="2">
        <v>14655674702.17</v>
      </c>
      <c r="H9" s="2">
        <v>3109559908.8640099</v>
      </c>
      <c r="I9" s="2">
        <v>17036399415.333401</v>
      </c>
      <c r="J9" s="2">
        <v>26755370612.276402</v>
      </c>
      <c r="K9" s="2">
        <v>1270330518.6102099</v>
      </c>
      <c r="L9" s="2">
        <v>27270947100.807201</v>
      </c>
      <c r="M9" s="2">
        <v>24013287849.886101</v>
      </c>
      <c r="N9" s="7">
        <v>25.664150965902799</v>
      </c>
      <c r="O9" s="7">
        <v>2.0413608119790201</v>
      </c>
      <c r="P9" s="7">
        <v>0.43312463393556</v>
      </c>
      <c r="Q9" s="7">
        <v>2.3729673897943799</v>
      </c>
      <c r="R9" s="7">
        <v>3.7267042417220999</v>
      </c>
      <c r="S9" s="7">
        <v>0.17694190077567001</v>
      </c>
      <c r="T9" s="7">
        <v>3.7985179016628901</v>
      </c>
      <c r="U9" s="7">
        <v>3.34476479450456</v>
      </c>
    </row>
    <row r="10" spans="1:21" x14ac:dyDescent="0.2">
      <c r="A10" s="10">
        <v>9</v>
      </c>
      <c r="B10" s="2">
        <v>2748042.5822946099</v>
      </c>
      <c r="C10" s="2">
        <v>486228487485.66101</v>
      </c>
      <c r="D10" s="2">
        <v>345215825394.66803</v>
      </c>
      <c r="E10" s="2">
        <v>831444312880.328</v>
      </c>
      <c r="F10" s="2">
        <v>187876242989.767</v>
      </c>
      <c r="G10" s="2">
        <v>16805662172.7773</v>
      </c>
      <c r="H10" s="2">
        <v>7059698128.8333302</v>
      </c>
      <c r="I10" s="2">
        <v>21683776062.752899</v>
      </c>
      <c r="J10" s="2">
        <v>27481880273.5425</v>
      </c>
      <c r="K10" s="2">
        <v>1653496607.91715</v>
      </c>
      <c r="L10" s="2">
        <v>35112115637.596298</v>
      </c>
      <c r="M10" s="2">
        <v>35386772159.278099</v>
      </c>
      <c r="N10" s="7">
        <v>22.596371167531</v>
      </c>
      <c r="O10" s="7">
        <v>2.0212613054695501</v>
      </c>
      <c r="P10" s="7">
        <v>0.84908851013446596</v>
      </c>
      <c r="Q10" s="7">
        <v>2.6079649264344602</v>
      </c>
      <c r="R10" s="7">
        <v>3.3053182092662898</v>
      </c>
      <c r="S10" s="7">
        <v>0.198870397247536</v>
      </c>
      <c r="T10" s="7">
        <v>4.22302673716767</v>
      </c>
      <c r="U10" s="7">
        <v>4.25606040129008</v>
      </c>
    </row>
    <row r="11" spans="1:21" x14ac:dyDescent="0.2">
      <c r="A11" s="10">
        <v>10</v>
      </c>
      <c r="B11" s="2">
        <v>2748063.5193039002</v>
      </c>
      <c r="C11" s="2">
        <v>728866393195.48303</v>
      </c>
      <c r="D11" s="2">
        <v>475598718219.29401</v>
      </c>
      <c r="E11" s="2">
        <v>1204465111414.77</v>
      </c>
      <c r="F11" s="2">
        <v>198514355412.69501</v>
      </c>
      <c r="G11" s="2">
        <v>22520886867.077202</v>
      </c>
      <c r="H11" s="2">
        <v>37970579912.605301</v>
      </c>
      <c r="I11" s="2">
        <v>43623405076.369102</v>
      </c>
      <c r="J11" s="2">
        <v>28523640905.661098</v>
      </c>
      <c r="K11" s="2">
        <v>2263702963.98209</v>
      </c>
      <c r="L11" s="2">
        <v>60577526785.675003</v>
      </c>
      <c r="M11" s="2">
        <v>63527252139.816299</v>
      </c>
      <c r="N11" s="7">
        <v>16.481536370905602</v>
      </c>
      <c r="O11" s="7">
        <v>1.8697832468243001</v>
      </c>
      <c r="P11" s="7">
        <v>3.1524848293866001</v>
      </c>
      <c r="Q11" s="7">
        <v>3.62180727884502</v>
      </c>
      <c r="R11" s="7">
        <v>2.3681583331340299</v>
      </c>
      <c r="S11" s="7">
        <v>0.187942593150176</v>
      </c>
      <c r="T11" s="7">
        <v>5.0294131570585696</v>
      </c>
      <c r="U11" s="7">
        <v>5.2743123514135197</v>
      </c>
    </row>
    <row r="12" spans="1:21" s="13" customFormat="1" x14ac:dyDescent="0.2">
      <c r="A12" s="11" t="s">
        <v>92</v>
      </c>
      <c r="B12" s="12">
        <f>SUM(B2:B11)</f>
        <v>27479695.00677811</v>
      </c>
      <c r="C12" s="12">
        <f t="shared" ref="C12:M12" si="0">SUM(C2:C11)</f>
        <v>3404354181191.2642</v>
      </c>
      <c r="D12" s="12">
        <f t="shared" si="0"/>
        <v>2673430958900.0151</v>
      </c>
      <c r="E12" s="12">
        <f t="shared" si="0"/>
        <v>6077785140091.2754</v>
      </c>
      <c r="F12" s="12">
        <f t="shared" si="0"/>
        <v>1696906561351.7781</v>
      </c>
      <c r="G12" s="17">
        <f t="shared" si="0"/>
        <v>115423725143.99579</v>
      </c>
      <c r="H12" s="12">
        <f t="shared" si="0"/>
        <v>50808564007.099205</v>
      </c>
      <c r="I12" s="17">
        <f t="shared" si="0"/>
        <v>124973656138.16888</v>
      </c>
      <c r="J12" s="12">
        <f t="shared" si="0"/>
        <v>199363602409.34552</v>
      </c>
      <c r="K12" s="17">
        <f t="shared" si="0"/>
        <v>10216135046.975927</v>
      </c>
      <c r="L12" s="12">
        <f t="shared" si="0"/>
        <v>221887526822.18134</v>
      </c>
      <c r="M12" s="12">
        <f t="shared" si="0"/>
        <v>178518198205.27313</v>
      </c>
    </row>
    <row r="13" spans="1:21" x14ac:dyDescent="0.2">
      <c r="C13" s="14">
        <f>C12/E12</f>
        <v>0.56013072241315498</v>
      </c>
      <c r="D13" s="14">
        <f>D12/E12</f>
        <v>0.43986927758684569</v>
      </c>
      <c r="E13" s="14">
        <f>E12/E12</f>
        <v>1</v>
      </c>
      <c r="F13" s="15">
        <f>F12/$D12</f>
        <v>0.63472989856075113</v>
      </c>
      <c r="G13" s="15">
        <f t="shared" ref="G13:M13" si="1">G12/$D12</f>
        <v>4.3174380381787364E-2</v>
      </c>
      <c r="H13" s="15">
        <f t="shared" si="1"/>
        <v>1.9005003229260284E-2</v>
      </c>
      <c r="I13" s="15">
        <f t="shared" si="1"/>
        <v>4.6746543321840403E-2</v>
      </c>
      <c r="J13" s="15">
        <f t="shared" si="1"/>
        <v>7.4572190370449584E-2</v>
      </c>
      <c r="K13" s="15">
        <f t="shared" si="1"/>
        <v>3.8213573509223377E-3</v>
      </c>
      <c r="L13" s="15">
        <f t="shared" si="1"/>
        <v>8.2997290834649837E-2</v>
      </c>
      <c r="M13" s="15">
        <f t="shared" si="1"/>
        <v>6.677494236796172E-2</v>
      </c>
    </row>
    <row r="14" spans="1:21" x14ac:dyDescent="0.2">
      <c r="N14">
        <f>F2/E2</f>
        <v>0.44288724995949774</v>
      </c>
    </row>
    <row r="15" spans="1:21" x14ac:dyDescent="0.2">
      <c r="F15" s="9">
        <f>SUM(F12:M12)</f>
        <v>2598097969124.8174</v>
      </c>
    </row>
    <row r="16" spans="1:21" x14ac:dyDescent="0.2">
      <c r="F16" s="16">
        <f>D12-F15</f>
        <v>75332989775.197754</v>
      </c>
      <c r="G16" s="9">
        <v>97084094629.597229</v>
      </c>
    </row>
    <row r="17" spans="6:6" x14ac:dyDescent="0.2">
      <c r="F17" s="15">
        <f>F16/D12</f>
        <v>2.817839358237759E-2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F533-0F47-9342-AACE-93ACAA2B3DDB}">
  <dimension ref="A1:AB11"/>
  <sheetViews>
    <sheetView workbookViewId="0"/>
  </sheetViews>
  <sheetFormatPr baseColWidth="10" defaultRowHeight="16" x14ac:dyDescent="0.2"/>
  <sheetData>
    <row r="1" spans="1:28" x14ac:dyDescent="0.2">
      <c r="A1" t="s">
        <v>19</v>
      </c>
      <c r="B1" t="s">
        <v>18</v>
      </c>
      <c r="C1" t="s">
        <v>11</v>
      </c>
      <c r="D1" t="s">
        <v>10</v>
      </c>
      <c r="E1" t="s">
        <v>12</v>
      </c>
      <c r="F1" t="s">
        <v>39</v>
      </c>
      <c r="G1" t="s">
        <v>38</v>
      </c>
      <c r="H1" t="s">
        <v>15</v>
      </c>
      <c r="I1" t="s">
        <v>37</v>
      </c>
      <c r="J1" t="s">
        <v>36</v>
      </c>
      <c r="K1" t="s">
        <v>35</v>
      </c>
      <c r="L1" t="s">
        <v>34</v>
      </c>
      <c r="M1" t="s">
        <v>33</v>
      </c>
      <c r="N1" t="s">
        <v>32</v>
      </c>
      <c r="O1" t="s">
        <v>31</v>
      </c>
      <c r="P1" t="s">
        <v>30</v>
      </c>
      <c r="Q1" t="s">
        <v>29</v>
      </c>
      <c r="R1" t="s">
        <v>28</v>
      </c>
      <c r="S1" t="s">
        <v>27</v>
      </c>
      <c r="T1" t="s">
        <v>26</v>
      </c>
      <c r="U1" t="s">
        <v>25</v>
      </c>
      <c r="V1" t="s">
        <v>24</v>
      </c>
      <c r="W1" t="s">
        <v>23</v>
      </c>
      <c r="X1" t="s">
        <v>22</v>
      </c>
      <c r="Y1" t="s">
        <v>21</v>
      </c>
      <c r="Z1" t="s">
        <v>20</v>
      </c>
      <c r="AA1" t="s">
        <v>85</v>
      </c>
      <c r="AB1" t="s">
        <v>84</v>
      </c>
    </row>
    <row r="2" spans="1:28" x14ac:dyDescent="0.2">
      <c r="A2">
        <v>1</v>
      </c>
      <c r="B2">
        <v>2747642.50515944</v>
      </c>
      <c r="C2">
        <v>393685994629.77002</v>
      </c>
      <c r="D2">
        <v>393598059781.88599</v>
      </c>
      <c r="E2">
        <v>351316478719.18903</v>
      </c>
      <c r="F2">
        <v>150775643277.01999</v>
      </c>
      <c r="G2">
        <v>167588911060.129</v>
      </c>
      <c r="H2">
        <v>318364554337.14899</v>
      </c>
      <c r="I2">
        <v>47.359431577093197</v>
      </c>
      <c r="J2">
        <v>52.640568422906703</v>
      </c>
      <c r="K2">
        <v>38.298452404640997</v>
      </c>
      <c r="L2">
        <v>42.569182888442</v>
      </c>
      <c r="M2">
        <v>42.9173273700994</v>
      </c>
      <c r="N2">
        <v>47.703117050220797</v>
      </c>
      <c r="O2">
        <v>38.307008769446902</v>
      </c>
      <c r="P2">
        <v>42.578693389138898</v>
      </c>
      <c r="Q2">
        <v>18093077193.242401</v>
      </c>
      <c r="R2">
        <v>20110669327.2155</v>
      </c>
      <c r="S2">
        <v>4.5958142885569204</v>
      </c>
      <c r="T2">
        <v>5.1500792844119303</v>
      </c>
      <c r="U2">
        <v>5.6831317892511901</v>
      </c>
      <c r="V2">
        <v>4.5968410523336303</v>
      </c>
      <c r="W2">
        <v>5.1083019466130404</v>
      </c>
      <c r="X2">
        <v>5.7243740460265</v>
      </c>
      <c r="Y2">
        <v>6.3168682107488001</v>
      </c>
      <c r="Z2">
        <v>5.1094432066966702</v>
      </c>
      <c r="AA2">
        <v>4.4289059026243898</v>
      </c>
      <c r="AB2">
        <v>6.2686829634487102</v>
      </c>
    </row>
    <row r="3" spans="1:28" x14ac:dyDescent="0.2">
      <c r="A3">
        <v>2</v>
      </c>
      <c r="B3">
        <v>2748295.6540946802</v>
      </c>
      <c r="C3">
        <v>501868928099.24402</v>
      </c>
      <c r="D3">
        <v>501713343239.35199</v>
      </c>
      <c r="E3">
        <v>425112471726.79303</v>
      </c>
      <c r="F3">
        <v>191876396739.00101</v>
      </c>
      <c r="G3">
        <v>188674065076.42499</v>
      </c>
      <c r="H3">
        <v>380550461815.427</v>
      </c>
      <c r="I3">
        <v>50.420749937774197</v>
      </c>
      <c r="J3">
        <v>49.579250062225803</v>
      </c>
      <c r="K3">
        <v>38.232372238246597</v>
      </c>
      <c r="L3">
        <v>37.594290961785802</v>
      </c>
      <c r="M3">
        <v>45.135442853418503</v>
      </c>
      <c r="N3">
        <v>44.382152400760603</v>
      </c>
      <c r="O3">
        <v>38.244228367564702</v>
      </c>
      <c r="P3">
        <v>37.605949217582399</v>
      </c>
      <c r="Q3">
        <v>23025167608.680199</v>
      </c>
      <c r="R3">
        <v>22640887809.171101</v>
      </c>
      <c r="S3">
        <v>4.5878846685896004</v>
      </c>
      <c r="T3">
        <v>5.4162531424102198</v>
      </c>
      <c r="U3">
        <v>6.0504899925329001</v>
      </c>
      <c r="V3">
        <v>4.5893074041077604</v>
      </c>
      <c r="W3">
        <v>4.5113149154143004</v>
      </c>
      <c r="X3">
        <v>5.3258582880912702</v>
      </c>
      <c r="Y3">
        <v>5.9495100074670901</v>
      </c>
      <c r="Z3">
        <v>4.51271390610989</v>
      </c>
      <c r="AA3">
        <v>5.6362054747153003</v>
      </c>
      <c r="AB3">
        <v>7.0573756336709597</v>
      </c>
    </row>
    <row r="4" spans="1:28" x14ac:dyDescent="0.2">
      <c r="A4">
        <v>3</v>
      </c>
      <c r="B4">
        <v>2747874.69444041</v>
      </c>
      <c r="C4">
        <v>572743128179.56702</v>
      </c>
      <c r="D4">
        <v>572449485768.89697</v>
      </c>
      <c r="E4">
        <v>473974452668.75201</v>
      </c>
      <c r="F4">
        <v>220499346450.54599</v>
      </c>
      <c r="G4">
        <v>200565384746.526</v>
      </c>
      <c r="H4">
        <v>421064731197.073</v>
      </c>
      <c r="I4">
        <v>52.367089930252298</v>
      </c>
      <c r="J4">
        <v>47.632910069747602</v>
      </c>
      <c r="K4">
        <v>38.498820082118002</v>
      </c>
      <c r="L4">
        <v>35.018383439014301</v>
      </c>
      <c r="M4">
        <v>46.521356838750798</v>
      </c>
      <c r="N4">
        <v>42.315653009824899</v>
      </c>
      <c r="O4">
        <v>38.518568350948598</v>
      </c>
      <c r="P4">
        <v>35.036346390831802</v>
      </c>
      <c r="Q4">
        <v>26459921574.065498</v>
      </c>
      <c r="R4">
        <v>24067846169.583099</v>
      </c>
      <c r="S4">
        <v>4.6198584098541602</v>
      </c>
      <c r="T4">
        <v>5.5825628206500904</v>
      </c>
      <c r="U4">
        <v>6.2840507916302704</v>
      </c>
      <c r="V4">
        <v>4.6222282021138303</v>
      </c>
      <c r="W4">
        <v>4.20220601268172</v>
      </c>
      <c r="X4">
        <v>5.0778783611789899</v>
      </c>
      <c r="Y4">
        <v>5.7159492083697199</v>
      </c>
      <c r="Z4">
        <v>4.20436156689982</v>
      </c>
      <c r="AA4">
        <v>6.4769802057842298</v>
      </c>
      <c r="AB4">
        <v>7.5021718469606098</v>
      </c>
    </row>
    <row r="5" spans="1:28" x14ac:dyDescent="0.2">
      <c r="A5">
        <v>4</v>
      </c>
      <c r="B5">
        <v>2747979.4784429399</v>
      </c>
      <c r="C5">
        <v>662747852070.24902</v>
      </c>
      <c r="D5">
        <v>662337000787.92896</v>
      </c>
      <c r="E5">
        <v>537512989857.86499</v>
      </c>
      <c r="F5">
        <v>253565638705.341</v>
      </c>
      <c r="G5">
        <v>220649118224.82501</v>
      </c>
      <c r="H5">
        <v>474214756930.16602</v>
      </c>
      <c r="I5">
        <v>53.470634348623101</v>
      </c>
      <c r="J5">
        <v>46.5293656513768</v>
      </c>
      <c r="K5">
        <v>38.2597450769955</v>
      </c>
      <c r="L5">
        <v>33.293071797301899</v>
      </c>
      <c r="M5">
        <v>47.1738624907263</v>
      </c>
      <c r="N5">
        <v>41.050006676707703</v>
      </c>
      <c r="O5">
        <v>38.283477807172801</v>
      </c>
      <c r="P5">
        <v>33.313723672743002</v>
      </c>
      <c r="Q5">
        <v>30427876644.6409</v>
      </c>
      <c r="R5">
        <v>26477894186.979</v>
      </c>
      <c r="S5">
        <v>4.5911694092394599</v>
      </c>
      <c r="T5">
        <v>5.6608634988871502</v>
      </c>
      <c r="U5">
        <v>6.4164761218347701</v>
      </c>
      <c r="V5">
        <v>4.5940173368607402</v>
      </c>
      <c r="W5">
        <v>3.9951686156762301</v>
      </c>
      <c r="X5">
        <v>4.9260008012049203</v>
      </c>
      <c r="Y5">
        <v>5.5835238781652103</v>
      </c>
      <c r="Z5">
        <v>3.9976468407291699</v>
      </c>
      <c r="AA5">
        <v>7.44827433368323</v>
      </c>
      <c r="AB5">
        <v>8.2534062639721508</v>
      </c>
    </row>
    <row r="6" spans="1:28" x14ac:dyDescent="0.2">
      <c r="A6">
        <v>5</v>
      </c>
      <c r="B6">
        <v>2747628.8515828899</v>
      </c>
      <c r="C6">
        <v>747600118197.56299</v>
      </c>
      <c r="D6">
        <v>746960235338.88196</v>
      </c>
      <c r="E6">
        <v>594012355627.04504</v>
      </c>
      <c r="F6">
        <v>285050596458.32202</v>
      </c>
      <c r="G6">
        <v>236424660769.00601</v>
      </c>
      <c r="H6">
        <v>521475257227.32898</v>
      </c>
      <c r="I6">
        <v>54.6623435163403</v>
      </c>
      <c r="J6">
        <v>45.337656483659501</v>
      </c>
      <c r="K6">
        <v>38.128752192491497</v>
      </c>
      <c r="L6">
        <v>31.6244814592884</v>
      </c>
      <c r="M6">
        <v>47.987317731366097</v>
      </c>
      <c r="N6">
        <v>39.801303546865498</v>
      </c>
      <c r="O6">
        <v>38.161415156055803</v>
      </c>
      <c r="P6">
        <v>31.651572544788198</v>
      </c>
      <c r="Q6">
        <v>34206071574.998699</v>
      </c>
      <c r="R6">
        <v>28370959292.2808</v>
      </c>
      <c r="S6">
        <v>4.57545026309898</v>
      </c>
      <c r="T6">
        <v>5.7584781277639303</v>
      </c>
      <c r="U6">
        <v>6.5594812219608398</v>
      </c>
      <c r="V6">
        <v>4.5793698187266996</v>
      </c>
      <c r="W6">
        <v>3.7949377751146098</v>
      </c>
      <c r="X6">
        <v>4.77615642562386</v>
      </c>
      <c r="Y6">
        <v>5.4405187780391397</v>
      </c>
      <c r="Z6">
        <v>3.7981887053745802</v>
      </c>
      <c r="AA6">
        <v>8.3731181095433609</v>
      </c>
      <c r="AB6">
        <v>8.8434922915040808</v>
      </c>
    </row>
    <row r="7" spans="1:28" x14ac:dyDescent="0.2">
      <c r="A7">
        <v>6</v>
      </c>
      <c r="B7">
        <v>2748336.9317767601</v>
      </c>
      <c r="C7">
        <v>848372550939.71704</v>
      </c>
      <c r="D7">
        <v>847328049717.32202</v>
      </c>
      <c r="E7">
        <v>658241170858.02002</v>
      </c>
      <c r="F7">
        <v>318613497545.14398</v>
      </c>
      <c r="G7">
        <v>254840055632.14801</v>
      </c>
      <c r="H7">
        <v>573453553177.29297</v>
      </c>
      <c r="I7">
        <v>55.5604714243769</v>
      </c>
      <c r="J7">
        <v>44.439528575623001</v>
      </c>
      <c r="K7">
        <v>37.5558470382175</v>
      </c>
      <c r="L7">
        <v>30.038696484212</v>
      </c>
      <c r="M7">
        <v>48.403763187560898</v>
      </c>
      <c r="N7">
        <v>38.715301763936097</v>
      </c>
      <c r="O7">
        <v>37.602142128003102</v>
      </c>
      <c r="P7">
        <v>30.075725183081801</v>
      </c>
      <c r="Q7">
        <v>38233619705.417297</v>
      </c>
      <c r="R7">
        <v>30580806675.8578</v>
      </c>
      <c r="S7">
        <v>4.5067016445860997</v>
      </c>
      <c r="T7">
        <v>5.8084515825073098</v>
      </c>
      <c r="U7">
        <v>6.6672565709252298</v>
      </c>
      <c r="V7">
        <v>4.5122570553603696</v>
      </c>
      <c r="W7">
        <v>3.6046435781054398</v>
      </c>
      <c r="X7">
        <v>4.6458362116723304</v>
      </c>
      <c r="Y7">
        <v>5.3327434290747604</v>
      </c>
      <c r="Z7">
        <v>3.6090870219698101</v>
      </c>
      <c r="AA7">
        <v>9.3589996982527097</v>
      </c>
      <c r="AB7">
        <v>9.5323223060528299</v>
      </c>
    </row>
    <row r="8" spans="1:28" x14ac:dyDescent="0.2">
      <c r="A8">
        <v>7</v>
      </c>
      <c r="B8">
        <v>2747846.3569293302</v>
      </c>
      <c r="C8">
        <v>966503949377.96899</v>
      </c>
      <c r="D8">
        <v>964685388999.18298</v>
      </c>
      <c r="E8">
        <v>731552577110.84595</v>
      </c>
      <c r="F8">
        <v>359308466354.51599</v>
      </c>
      <c r="G8">
        <v>275507418284.08301</v>
      </c>
      <c r="H8">
        <v>634815884638.59998</v>
      </c>
      <c r="I8">
        <v>56.600421484265397</v>
      </c>
      <c r="J8">
        <v>43.399578515734497</v>
      </c>
      <c r="K8">
        <v>37.176099133972698</v>
      </c>
      <c r="L8">
        <v>28.5055657001088</v>
      </c>
      <c r="M8">
        <v>49.115877326760199</v>
      </c>
      <c r="N8">
        <v>37.660644894746703</v>
      </c>
      <c r="O8">
        <v>37.246181029784402</v>
      </c>
      <c r="P8">
        <v>28.559302486161801</v>
      </c>
      <c r="Q8">
        <v>43117015962.541901</v>
      </c>
      <c r="R8">
        <v>33060890194.09</v>
      </c>
      <c r="S8">
        <v>4.4611318960767301</v>
      </c>
      <c r="T8">
        <v>5.8939052792112196</v>
      </c>
      <c r="U8">
        <v>6.7920505781118496</v>
      </c>
      <c r="V8">
        <v>4.4695417235741299</v>
      </c>
      <c r="W8">
        <v>3.42066788401306</v>
      </c>
      <c r="X8">
        <v>4.5192773873696002</v>
      </c>
      <c r="Y8">
        <v>5.2079494218881397</v>
      </c>
      <c r="Z8">
        <v>3.4271162983394201</v>
      </c>
      <c r="AA8">
        <v>10.5543796923264</v>
      </c>
      <c r="AB8">
        <v>10.305387441067101</v>
      </c>
    </row>
    <row r="9" spans="1:28" x14ac:dyDescent="0.2">
      <c r="A9">
        <v>8</v>
      </c>
      <c r="B9">
        <v>2747984.4327531499</v>
      </c>
      <c r="C9">
        <v>1143798178383.98</v>
      </c>
      <c r="D9">
        <v>1140196475426.96</v>
      </c>
      <c r="E9">
        <v>835115827244.97595</v>
      </c>
      <c r="F9">
        <v>409569714980.22998</v>
      </c>
      <c r="G9">
        <v>308366801492.91101</v>
      </c>
      <c r="H9">
        <v>717936516473.14099</v>
      </c>
      <c r="I9">
        <v>57.048179829637</v>
      </c>
      <c r="J9">
        <v>42.951820170362801</v>
      </c>
      <c r="K9">
        <v>35.807865646270699</v>
      </c>
      <c r="L9">
        <v>26.9598961880308</v>
      </c>
      <c r="M9">
        <v>49.043462190315402</v>
      </c>
      <c r="N9">
        <v>36.925033801622902</v>
      </c>
      <c r="O9">
        <v>35.920977112901397</v>
      </c>
      <c r="P9">
        <v>27.045058298170702</v>
      </c>
      <c r="Q9">
        <v>49148365797.627602</v>
      </c>
      <c r="R9">
        <v>37004016179.1493</v>
      </c>
      <c r="S9">
        <v>4.2969438775524802</v>
      </c>
      <c r="T9">
        <v>5.8852154628378504</v>
      </c>
      <c r="U9">
        <v>6.8457815795564496</v>
      </c>
      <c r="V9">
        <v>4.3105172535481699</v>
      </c>
      <c r="W9">
        <v>3.2351875425637</v>
      </c>
      <c r="X9">
        <v>4.4310040561947499</v>
      </c>
      <c r="Y9">
        <v>5.15421842044353</v>
      </c>
      <c r="Z9">
        <v>3.2454069957804799</v>
      </c>
      <c r="AA9">
        <v>12.0307609955234</v>
      </c>
      <c r="AB9">
        <v>11.53449654147</v>
      </c>
    </row>
    <row r="10" spans="1:28" x14ac:dyDescent="0.2">
      <c r="A10">
        <v>9</v>
      </c>
      <c r="B10">
        <v>2748042.5822946099</v>
      </c>
      <c r="C10">
        <v>1408474249835.2</v>
      </c>
      <c r="D10">
        <v>1401566027182.1899</v>
      </c>
      <c r="E10">
        <v>984734316347.63196</v>
      </c>
      <c r="F10">
        <v>486228487485.66101</v>
      </c>
      <c r="G10">
        <v>345215825394.66803</v>
      </c>
      <c r="H10">
        <v>831444312880.328</v>
      </c>
      <c r="I10">
        <v>58.479982357597102</v>
      </c>
      <c r="J10">
        <v>41.520017642402799</v>
      </c>
      <c r="K10">
        <v>34.521645499912502</v>
      </c>
      <c r="L10">
        <v>24.5099138614043</v>
      </c>
      <c r="M10">
        <v>49.376616556745603</v>
      </c>
      <c r="N10">
        <v>35.056747760661899</v>
      </c>
      <c r="O10">
        <v>34.691800318762603</v>
      </c>
      <c r="P10">
        <v>24.630721542866802</v>
      </c>
      <c r="Q10">
        <v>58347418498.279297</v>
      </c>
      <c r="R10">
        <v>41425899047.3601</v>
      </c>
      <c r="S10">
        <v>4.1425974599895099</v>
      </c>
      <c r="T10">
        <v>5.9251939868094698</v>
      </c>
      <c r="U10">
        <v>7.0175978829116499</v>
      </c>
      <c r="V10">
        <v>4.1630160382515102</v>
      </c>
      <c r="W10">
        <v>2.94118966336851</v>
      </c>
      <c r="X10">
        <v>4.2068097312794297</v>
      </c>
      <c r="Y10">
        <v>4.9824021170883404</v>
      </c>
      <c r="Z10">
        <v>2.9556865851440199</v>
      </c>
      <c r="AA10">
        <v>14.282547044371199</v>
      </c>
      <c r="AB10">
        <v>12.912838622049399</v>
      </c>
    </row>
    <row r="11" spans="1:28" x14ac:dyDescent="0.2">
      <c r="A11">
        <v>10</v>
      </c>
      <c r="B11">
        <v>2748063.5193039002</v>
      </c>
      <c r="C11">
        <v>2460817957236.1299</v>
      </c>
      <c r="D11">
        <v>2428573096651.0498</v>
      </c>
      <c r="E11">
        <v>1499507913513.8899</v>
      </c>
      <c r="F11">
        <v>728866393195.48303</v>
      </c>
      <c r="G11">
        <v>475598718219.29401</v>
      </c>
      <c r="H11">
        <v>1204465111414.77</v>
      </c>
      <c r="I11">
        <v>60.5136990924833</v>
      </c>
      <c r="J11">
        <v>39.4863009075166</v>
      </c>
      <c r="K11">
        <v>29.618866810209301</v>
      </c>
      <c r="L11">
        <v>19.326854992291299</v>
      </c>
      <c r="M11">
        <v>48.607038790977803</v>
      </c>
      <c r="N11">
        <v>31.716986214816998</v>
      </c>
      <c r="O11">
        <v>30.012124988149299</v>
      </c>
      <c r="P11">
        <v>19.583463181533801</v>
      </c>
      <c r="Q11">
        <v>87463967183.457901</v>
      </c>
      <c r="R11">
        <v>57071846186.3153</v>
      </c>
      <c r="S11">
        <v>3.5542640172251101</v>
      </c>
      <c r="T11">
        <v>5.8328446549173298</v>
      </c>
      <c r="U11">
        <v>7.2616438910980001</v>
      </c>
      <c r="V11">
        <v>3.6014549985779198</v>
      </c>
      <c r="W11">
        <v>2.3192225990749602</v>
      </c>
      <c r="X11">
        <v>3.80603834577804</v>
      </c>
      <c r="Y11">
        <v>4.7383561089019901</v>
      </c>
      <c r="Z11">
        <v>2.3500155817840498</v>
      </c>
      <c r="AA11">
        <v>21.4098285431756</v>
      </c>
      <c r="AB11">
        <v>17.789826089803999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75A6B-EC95-9442-AA52-854BA9087FE9}">
  <dimension ref="A1:AC11"/>
  <sheetViews>
    <sheetView workbookViewId="0"/>
  </sheetViews>
  <sheetFormatPr baseColWidth="10" defaultRowHeight="16" x14ac:dyDescent="0.2"/>
  <sheetData>
    <row r="1" spans="1:29" x14ac:dyDescent="0.2">
      <c r="A1" t="s">
        <v>19</v>
      </c>
      <c r="B1" t="s">
        <v>18</v>
      </c>
      <c r="C1" t="s">
        <v>11</v>
      </c>
      <c r="D1" t="s">
        <v>10</v>
      </c>
      <c r="E1" t="s">
        <v>12</v>
      </c>
      <c r="F1" t="s">
        <v>39</v>
      </c>
      <c r="G1" t="s">
        <v>38</v>
      </c>
      <c r="H1" t="s">
        <v>15</v>
      </c>
      <c r="I1" t="s">
        <v>37</v>
      </c>
      <c r="J1" t="s">
        <v>36</v>
      </c>
      <c r="K1" t="s">
        <v>35</v>
      </c>
      <c r="L1" t="s">
        <v>34</v>
      </c>
      <c r="M1" t="s">
        <v>33</v>
      </c>
      <c r="N1" t="s">
        <v>32</v>
      </c>
      <c r="O1" t="s">
        <v>31</v>
      </c>
      <c r="P1" t="s">
        <v>30</v>
      </c>
      <c r="Q1" t="s">
        <v>29</v>
      </c>
      <c r="R1" t="s">
        <v>28</v>
      </c>
      <c r="S1" t="s">
        <v>27</v>
      </c>
      <c r="T1" t="s">
        <v>26</v>
      </c>
      <c r="U1" t="s">
        <v>25</v>
      </c>
      <c r="V1" t="s">
        <v>24</v>
      </c>
      <c r="W1" t="s">
        <v>23</v>
      </c>
      <c r="X1" t="s">
        <v>22</v>
      </c>
      <c r="Y1" t="s">
        <v>21</v>
      </c>
      <c r="Z1" t="s">
        <v>20</v>
      </c>
      <c r="AA1" t="s">
        <v>85</v>
      </c>
      <c r="AB1" t="s">
        <v>84</v>
      </c>
      <c r="AC1" t="s">
        <v>86</v>
      </c>
    </row>
    <row r="2" spans="1:29" x14ac:dyDescent="0.2">
      <c r="A2">
        <v>1</v>
      </c>
      <c r="B2">
        <v>2747642.50515944</v>
      </c>
      <c r="C2">
        <v>393685994629.77002</v>
      </c>
      <c r="D2">
        <v>393598059781.88599</v>
      </c>
      <c r="E2">
        <v>351316478719.18903</v>
      </c>
      <c r="F2">
        <v>150775643277.01999</v>
      </c>
      <c r="G2">
        <v>167588911060.129</v>
      </c>
      <c r="H2">
        <v>318364554337.14899</v>
      </c>
      <c r="I2">
        <v>47.359431577093197</v>
      </c>
      <c r="J2">
        <v>52.640568422906703</v>
      </c>
      <c r="K2">
        <v>38.298452404640997</v>
      </c>
      <c r="L2">
        <v>42.569182888442</v>
      </c>
      <c r="M2">
        <v>42.9173273700994</v>
      </c>
      <c r="N2">
        <v>47.703117050220797</v>
      </c>
      <c r="O2">
        <v>38.307008769446902</v>
      </c>
      <c r="P2">
        <v>42.578693389138898</v>
      </c>
      <c r="Q2">
        <v>18093077193.242401</v>
      </c>
      <c r="R2">
        <v>20110669327.2155</v>
      </c>
      <c r="S2">
        <v>4.5958142885569204</v>
      </c>
      <c r="T2">
        <v>5.1500792844119303</v>
      </c>
      <c r="U2">
        <v>5.6831317892511901</v>
      </c>
      <c r="V2">
        <v>4.5968410523336303</v>
      </c>
      <c r="W2">
        <v>5.1083019466130404</v>
      </c>
      <c r="X2">
        <v>5.7243740460265</v>
      </c>
      <c r="Y2">
        <v>6.3168682107488001</v>
      </c>
      <c r="Z2">
        <v>5.1094432066966702</v>
      </c>
      <c r="AA2">
        <v>4.4289059026243898</v>
      </c>
      <c r="AB2">
        <v>6.2686829634487102</v>
      </c>
      <c r="AC2">
        <v>5.6831317892511901</v>
      </c>
    </row>
    <row r="3" spans="1:29" x14ac:dyDescent="0.2">
      <c r="A3">
        <v>2</v>
      </c>
      <c r="B3">
        <v>2748295.6540946802</v>
      </c>
      <c r="C3">
        <v>501868928099.24402</v>
      </c>
      <c r="D3">
        <v>501713343239.35199</v>
      </c>
      <c r="E3">
        <v>425112471726.79303</v>
      </c>
      <c r="F3">
        <v>191876396739.00101</v>
      </c>
      <c r="G3">
        <v>188674065076.42499</v>
      </c>
      <c r="H3">
        <v>380550461815.427</v>
      </c>
      <c r="I3">
        <v>50.420749937774197</v>
      </c>
      <c r="J3">
        <v>49.579250062225803</v>
      </c>
      <c r="K3">
        <v>38.232372238246597</v>
      </c>
      <c r="L3">
        <v>37.594290961785802</v>
      </c>
      <c r="M3">
        <v>45.135442853418503</v>
      </c>
      <c r="N3">
        <v>44.382152400760603</v>
      </c>
      <c r="O3">
        <v>38.244228367564702</v>
      </c>
      <c r="P3">
        <v>37.605949217582399</v>
      </c>
      <c r="Q3">
        <v>23025167608.680199</v>
      </c>
      <c r="R3">
        <v>22640887809.171101</v>
      </c>
      <c r="S3">
        <v>4.5878846685896004</v>
      </c>
      <c r="T3">
        <v>5.4162531424102198</v>
      </c>
      <c r="U3">
        <v>6.0504899925329001</v>
      </c>
      <c r="V3">
        <v>4.5893074041077604</v>
      </c>
      <c r="W3">
        <v>4.5113149154143004</v>
      </c>
      <c r="X3">
        <v>5.3258582880912702</v>
      </c>
      <c r="Y3">
        <v>5.9495100074670901</v>
      </c>
      <c r="Z3">
        <v>4.51271390610989</v>
      </c>
      <c r="AA3">
        <v>5.6362054747153003</v>
      </c>
      <c r="AB3">
        <v>7.0573756336709597</v>
      </c>
      <c r="AC3">
        <v>6.0504899925329001</v>
      </c>
    </row>
    <row r="4" spans="1:29" x14ac:dyDescent="0.2">
      <c r="A4">
        <v>3</v>
      </c>
      <c r="B4">
        <v>2747874.69444041</v>
      </c>
      <c r="C4">
        <v>572743128179.56702</v>
      </c>
      <c r="D4">
        <v>572449485768.89697</v>
      </c>
      <c r="E4">
        <v>473974452668.75201</v>
      </c>
      <c r="F4">
        <v>220499346450.54599</v>
      </c>
      <c r="G4">
        <v>200565384746.526</v>
      </c>
      <c r="H4">
        <v>421064731197.073</v>
      </c>
      <c r="I4">
        <v>52.367089930252298</v>
      </c>
      <c r="J4">
        <v>47.632910069747602</v>
      </c>
      <c r="K4">
        <v>38.498820082118002</v>
      </c>
      <c r="L4">
        <v>35.018383439014301</v>
      </c>
      <c r="M4">
        <v>46.521356838750798</v>
      </c>
      <c r="N4">
        <v>42.315653009824899</v>
      </c>
      <c r="O4">
        <v>38.518568350948598</v>
      </c>
      <c r="P4">
        <v>35.036346390831802</v>
      </c>
      <c r="Q4">
        <v>26459921574.065498</v>
      </c>
      <c r="R4">
        <v>24067846169.583099</v>
      </c>
      <c r="S4">
        <v>4.6198584098541602</v>
      </c>
      <c r="T4">
        <v>5.5825628206500904</v>
      </c>
      <c r="U4">
        <v>6.2840507916302704</v>
      </c>
      <c r="V4">
        <v>4.6222282021138303</v>
      </c>
      <c r="W4">
        <v>4.20220601268172</v>
      </c>
      <c r="X4">
        <v>5.0778783611789899</v>
      </c>
      <c r="Y4">
        <v>5.7159492083697199</v>
      </c>
      <c r="Z4">
        <v>4.20436156689982</v>
      </c>
      <c r="AA4">
        <v>6.4769802057842298</v>
      </c>
      <c r="AB4">
        <v>7.5021718469606098</v>
      </c>
      <c r="AC4">
        <v>6.2840507916302704</v>
      </c>
    </row>
    <row r="5" spans="1:29" x14ac:dyDescent="0.2">
      <c r="A5">
        <v>4</v>
      </c>
      <c r="B5">
        <v>2747979.4784429399</v>
      </c>
      <c r="C5">
        <v>662747852070.24902</v>
      </c>
      <c r="D5">
        <v>662337000787.92896</v>
      </c>
      <c r="E5">
        <v>537512989857.86499</v>
      </c>
      <c r="F5">
        <v>253565638705.341</v>
      </c>
      <c r="G5">
        <v>220649118224.82501</v>
      </c>
      <c r="H5">
        <v>474214756930.16602</v>
      </c>
      <c r="I5">
        <v>53.470634348623101</v>
      </c>
      <c r="J5">
        <v>46.5293656513768</v>
      </c>
      <c r="K5">
        <v>38.2597450769955</v>
      </c>
      <c r="L5">
        <v>33.293071797301899</v>
      </c>
      <c r="M5">
        <v>47.1738624907263</v>
      </c>
      <c r="N5">
        <v>41.050006676707703</v>
      </c>
      <c r="O5">
        <v>38.283477807172801</v>
      </c>
      <c r="P5">
        <v>33.313723672743002</v>
      </c>
      <c r="Q5">
        <v>30427876644.6409</v>
      </c>
      <c r="R5">
        <v>26477894186.979</v>
      </c>
      <c r="S5">
        <v>4.5911694092394599</v>
      </c>
      <c r="T5">
        <v>5.6608634988871502</v>
      </c>
      <c r="U5">
        <v>6.4164761218347701</v>
      </c>
      <c r="V5">
        <v>4.5940173368607402</v>
      </c>
      <c r="W5">
        <v>3.9951686156762301</v>
      </c>
      <c r="X5">
        <v>4.9260008012049203</v>
      </c>
      <c r="Y5">
        <v>5.5835238781652103</v>
      </c>
      <c r="Z5">
        <v>3.9976468407291699</v>
      </c>
      <c r="AA5">
        <v>7.44827433368323</v>
      </c>
      <c r="AB5">
        <v>8.2534062639721508</v>
      </c>
      <c r="AC5">
        <v>6.4164761218347701</v>
      </c>
    </row>
    <row r="6" spans="1:29" x14ac:dyDescent="0.2">
      <c r="A6">
        <v>5</v>
      </c>
      <c r="B6">
        <v>2747628.8515828899</v>
      </c>
      <c r="C6">
        <v>747600118197.56299</v>
      </c>
      <c r="D6">
        <v>746960235338.88196</v>
      </c>
      <c r="E6">
        <v>594012355627.04504</v>
      </c>
      <c r="F6">
        <v>285050596458.32202</v>
      </c>
      <c r="G6">
        <v>236424660769.00601</v>
      </c>
      <c r="H6">
        <v>521475257227.32898</v>
      </c>
      <c r="I6">
        <v>54.6623435163403</v>
      </c>
      <c r="J6">
        <v>45.337656483659501</v>
      </c>
      <c r="K6">
        <v>38.128752192491497</v>
      </c>
      <c r="L6">
        <v>31.6244814592884</v>
      </c>
      <c r="M6">
        <v>47.987317731366097</v>
      </c>
      <c r="N6">
        <v>39.801303546865498</v>
      </c>
      <c r="O6">
        <v>38.161415156055803</v>
      </c>
      <c r="P6">
        <v>31.651572544788198</v>
      </c>
      <c r="Q6">
        <v>34206071574.998699</v>
      </c>
      <c r="R6">
        <v>28370959292.2808</v>
      </c>
      <c r="S6">
        <v>4.57545026309898</v>
      </c>
      <c r="T6">
        <v>5.7584781277639303</v>
      </c>
      <c r="U6">
        <v>6.5594812219608398</v>
      </c>
      <c r="V6">
        <v>4.5793698187266996</v>
      </c>
      <c r="W6">
        <v>3.7949377751146098</v>
      </c>
      <c r="X6">
        <v>4.77615642562386</v>
      </c>
      <c r="Y6">
        <v>5.4405187780391397</v>
      </c>
      <c r="Z6">
        <v>3.7981887053745802</v>
      </c>
      <c r="AA6">
        <v>8.3731181095433609</v>
      </c>
      <c r="AB6">
        <v>8.8434922915040808</v>
      </c>
      <c r="AC6">
        <v>6.5594812219608398</v>
      </c>
    </row>
    <row r="7" spans="1:29" x14ac:dyDescent="0.2">
      <c r="A7">
        <v>6</v>
      </c>
      <c r="B7">
        <v>2748336.9317767601</v>
      </c>
      <c r="C7">
        <v>848372550939.71704</v>
      </c>
      <c r="D7">
        <v>847328049717.32202</v>
      </c>
      <c r="E7">
        <v>658241170858.02002</v>
      </c>
      <c r="F7">
        <v>318613497545.14398</v>
      </c>
      <c r="G7">
        <v>254840055632.14801</v>
      </c>
      <c r="H7">
        <v>573453553177.29297</v>
      </c>
      <c r="I7">
        <v>55.5604714243769</v>
      </c>
      <c r="J7">
        <v>44.439528575623001</v>
      </c>
      <c r="K7">
        <v>37.5558470382175</v>
      </c>
      <c r="L7">
        <v>30.038696484212</v>
      </c>
      <c r="M7">
        <v>48.403763187560898</v>
      </c>
      <c r="N7">
        <v>38.715301763936097</v>
      </c>
      <c r="O7">
        <v>37.602142128003102</v>
      </c>
      <c r="P7">
        <v>30.075725183081801</v>
      </c>
      <c r="Q7">
        <v>38233619705.417297</v>
      </c>
      <c r="R7">
        <v>30580806675.8578</v>
      </c>
      <c r="S7">
        <v>4.5067016445860997</v>
      </c>
      <c r="T7">
        <v>5.8084515825073098</v>
      </c>
      <c r="U7">
        <v>6.6672565709252298</v>
      </c>
      <c r="V7">
        <v>4.5122570553603696</v>
      </c>
      <c r="W7">
        <v>3.6046435781054398</v>
      </c>
      <c r="X7">
        <v>4.6458362116723304</v>
      </c>
      <c r="Y7">
        <v>5.3327434290747604</v>
      </c>
      <c r="Z7">
        <v>3.6090870219698101</v>
      </c>
      <c r="AA7">
        <v>9.3589996982527097</v>
      </c>
      <c r="AB7">
        <v>9.5323223060528299</v>
      </c>
      <c r="AC7">
        <v>6.6672565709252298</v>
      </c>
    </row>
    <row r="8" spans="1:29" x14ac:dyDescent="0.2">
      <c r="A8">
        <v>7</v>
      </c>
      <c r="B8">
        <v>2747846.3569293302</v>
      </c>
      <c r="C8">
        <v>966503949377.96899</v>
      </c>
      <c r="D8">
        <v>964685388999.18298</v>
      </c>
      <c r="E8">
        <v>731552577110.84595</v>
      </c>
      <c r="F8">
        <v>359308466354.51599</v>
      </c>
      <c r="G8">
        <v>275507418284.08301</v>
      </c>
      <c r="H8">
        <v>634815884638.59998</v>
      </c>
      <c r="I8">
        <v>56.600421484265397</v>
      </c>
      <c r="J8">
        <v>43.399578515734497</v>
      </c>
      <c r="K8">
        <v>37.176099133972698</v>
      </c>
      <c r="L8">
        <v>28.5055657001088</v>
      </c>
      <c r="M8">
        <v>49.115877326760199</v>
      </c>
      <c r="N8">
        <v>37.660644894746703</v>
      </c>
      <c r="O8">
        <v>37.246181029784402</v>
      </c>
      <c r="P8">
        <v>28.559302486161801</v>
      </c>
      <c r="Q8">
        <v>43117015962.541901</v>
      </c>
      <c r="R8">
        <v>33060890194.09</v>
      </c>
      <c r="S8">
        <v>4.4611318960767301</v>
      </c>
      <c r="T8">
        <v>5.8939052792112196</v>
      </c>
      <c r="U8">
        <v>6.7920505781118496</v>
      </c>
      <c r="V8">
        <v>4.4695417235741299</v>
      </c>
      <c r="W8">
        <v>3.42066788401306</v>
      </c>
      <c r="X8">
        <v>4.5192773873696002</v>
      </c>
      <c r="Y8">
        <v>5.2079494218881397</v>
      </c>
      <c r="Z8">
        <v>3.4271162983394201</v>
      </c>
      <c r="AA8">
        <v>10.5543796923264</v>
      </c>
      <c r="AB8">
        <v>10.305387441067101</v>
      </c>
      <c r="AC8">
        <v>6.7920505781118496</v>
      </c>
    </row>
    <row r="9" spans="1:29" x14ac:dyDescent="0.2">
      <c r="A9">
        <v>8</v>
      </c>
      <c r="B9">
        <v>2747984.4327531499</v>
      </c>
      <c r="C9">
        <v>1143798178383.98</v>
      </c>
      <c r="D9">
        <v>1140196475426.96</v>
      </c>
      <c r="E9">
        <v>835115827244.97595</v>
      </c>
      <c r="F9">
        <v>409569714980.22998</v>
      </c>
      <c r="G9">
        <v>308366801492.91101</v>
      </c>
      <c r="H9">
        <v>717936516473.14099</v>
      </c>
      <c r="I9">
        <v>57.048179829637</v>
      </c>
      <c r="J9">
        <v>42.951820170362801</v>
      </c>
      <c r="K9">
        <v>35.807865646270699</v>
      </c>
      <c r="L9">
        <v>26.9598961880308</v>
      </c>
      <c r="M9">
        <v>49.043462190315402</v>
      </c>
      <c r="N9">
        <v>36.925033801622902</v>
      </c>
      <c r="O9">
        <v>35.920977112901397</v>
      </c>
      <c r="P9">
        <v>27.045058298170702</v>
      </c>
      <c r="Q9">
        <v>49148365797.627602</v>
      </c>
      <c r="R9">
        <v>37004016179.1493</v>
      </c>
      <c r="S9">
        <v>4.2969438775524802</v>
      </c>
      <c r="T9">
        <v>5.8852154628378504</v>
      </c>
      <c r="U9">
        <v>6.8457815795564496</v>
      </c>
      <c r="V9">
        <v>4.3105172535481699</v>
      </c>
      <c r="W9">
        <v>3.2351875425637</v>
      </c>
      <c r="X9">
        <v>4.4310040561947499</v>
      </c>
      <c r="Y9">
        <v>5.15421842044353</v>
      </c>
      <c r="Z9">
        <v>3.2454069957804799</v>
      </c>
      <c r="AA9">
        <v>12.0307609955234</v>
      </c>
      <c r="AB9">
        <v>11.53449654147</v>
      </c>
      <c r="AC9">
        <v>6.8457815795564496</v>
      </c>
    </row>
    <row r="10" spans="1:29" x14ac:dyDescent="0.2">
      <c r="A10">
        <v>9</v>
      </c>
      <c r="B10">
        <v>2748042.5822946099</v>
      </c>
      <c r="C10">
        <v>1408474249835.2</v>
      </c>
      <c r="D10">
        <v>1401566027182.1899</v>
      </c>
      <c r="E10">
        <v>984734316347.63196</v>
      </c>
      <c r="F10">
        <v>486228487485.66101</v>
      </c>
      <c r="G10">
        <v>345215825394.66803</v>
      </c>
      <c r="H10">
        <v>831444312880.328</v>
      </c>
      <c r="I10">
        <v>58.479982357597102</v>
      </c>
      <c r="J10">
        <v>41.520017642402799</v>
      </c>
      <c r="K10">
        <v>34.521645499912502</v>
      </c>
      <c r="L10">
        <v>24.5099138614043</v>
      </c>
      <c r="M10">
        <v>49.376616556745603</v>
      </c>
      <c r="N10">
        <v>35.056747760661899</v>
      </c>
      <c r="O10">
        <v>34.691800318762603</v>
      </c>
      <c r="P10">
        <v>24.630721542866802</v>
      </c>
      <c r="Q10">
        <v>58347418498.279297</v>
      </c>
      <c r="R10">
        <v>41425899047.3601</v>
      </c>
      <c r="S10">
        <v>4.1425974599895099</v>
      </c>
      <c r="T10">
        <v>5.9251939868094698</v>
      </c>
      <c r="U10">
        <v>7.0175978829116499</v>
      </c>
      <c r="V10">
        <v>4.1630160382515102</v>
      </c>
      <c r="W10">
        <v>2.94118966336851</v>
      </c>
      <c r="X10">
        <v>4.2068097312794297</v>
      </c>
      <c r="Y10">
        <v>4.9824021170883404</v>
      </c>
      <c r="Z10">
        <v>2.9556865851440199</v>
      </c>
      <c r="AA10">
        <v>14.282547044371199</v>
      </c>
      <c r="AB10">
        <v>12.912838622049399</v>
      </c>
      <c r="AC10">
        <v>7.0175978829116499</v>
      </c>
    </row>
    <row r="11" spans="1:29" x14ac:dyDescent="0.2">
      <c r="A11">
        <v>10</v>
      </c>
      <c r="B11">
        <v>2748063.5193039002</v>
      </c>
      <c r="C11">
        <v>2460817957236.1299</v>
      </c>
      <c r="D11">
        <v>2428573096651.0498</v>
      </c>
      <c r="E11">
        <v>1499507913513.8899</v>
      </c>
      <c r="F11">
        <v>728866393195.48303</v>
      </c>
      <c r="G11">
        <v>475598718219.29401</v>
      </c>
      <c r="H11">
        <v>1204465111414.77</v>
      </c>
      <c r="I11">
        <v>60.5136990924833</v>
      </c>
      <c r="J11">
        <v>39.4863009075166</v>
      </c>
      <c r="K11">
        <v>29.618866810209301</v>
      </c>
      <c r="L11">
        <v>19.326854992291299</v>
      </c>
      <c r="M11">
        <v>48.607038790977803</v>
      </c>
      <c r="N11">
        <v>31.716986214816998</v>
      </c>
      <c r="O11">
        <v>30.012124988149299</v>
      </c>
      <c r="P11">
        <v>19.583463181533801</v>
      </c>
      <c r="Q11">
        <v>87463967183.457901</v>
      </c>
      <c r="R11">
        <v>57071846186.3153</v>
      </c>
      <c r="S11">
        <v>3.5542640172251101</v>
      </c>
      <c r="T11">
        <v>5.8328446549173298</v>
      </c>
      <c r="U11">
        <v>7.2616438910980001</v>
      </c>
      <c r="V11">
        <v>3.6014549985779198</v>
      </c>
      <c r="W11">
        <v>2.3192225990749602</v>
      </c>
      <c r="X11">
        <v>3.80603834577804</v>
      </c>
      <c r="Y11">
        <v>4.7383561089019901</v>
      </c>
      <c r="Z11">
        <v>2.3500155817840498</v>
      </c>
      <c r="AA11">
        <v>21.4098285431756</v>
      </c>
      <c r="AB11">
        <v>17.789826089803999</v>
      </c>
      <c r="AC11">
        <v>7.2616438910980001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E9F35-889E-064C-83F4-97AE90DC7284}">
  <dimension ref="A1:M11"/>
  <sheetViews>
    <sheetView workbookViewId="0"/>
  </sheetViews>
  <sheetFormatPr baseColWidth="10" defaultRowHeight="16" x14ac:dyDescent="0.2"/>
  <sheetData>
    <row r="1" spans="1:13" x14ac:dyDescent="0.2">
      <c r="A1" t="s">
        <v>19</v>
      </c>
      <c r="B1" t="s">
        <v>91</v>
      </c>
      <c r="C1" t="s">
        <v>90</v>
      </c>
      <c r="D1" t="s">
        <v>89</v>
      </c>
      <c r="E1" t="s">
        <v>17</v>
      </c>
      <c r="F1" t="s">
        <v>16</v>
      </c>
      <c r="G1" t="s">
        <v>15</v>
      </c>
      <c r="H1" t="s">
        <v>14</v>
      </c>
      <c r="I1" t="s">
        <v>13</v>
      </c>
      <c r="J1" t="s">
        <v>9</v>
      </c>
      <c r="K1" t="s">
        <v>5</v>
      </c>
      <c r="L1" t="s">
        <v>88</v>
      </c>
      <c r="M1" t="s">
        <v>87</v>
      </c>
    </row>
    <row r="2" spans="1:13" x14ac:dyDescent="0.2">
      <c r="A2">
        <v>1</v>
      </c>
      <c r="B2">
        <v>648947.35149137001</v>
      </c>
      <c r="C2">
        <v>6345</v>
      </c>
      <c r="D2">
        <v>896422.17372514296</v>
      </c>
      <c r="E2">
        <v>33541315748.8811</v>
      </c>
      <c r="F2">
        <v>39361619615.814499</v>
      </c>
      <c r="G2">
        <v>72902935364.695602</v>
      </c>
      <c r="H2">
        <v>4024957889.8657298</v>
      </c>
      <c r="I2">
        <v>4723394353.8977404</v>
      </c>
      <c r="J2">
        <v>5.4553261178535299</v>
      </c>
      <c r="K2">
        <v>6.5446738821464603</v>
      </c>
      <c r="L2">
        <v>40.643887555188201</v>
      </c>
      <c r="M2">
        <v>48.843851069320699</v>
      </c>
    </row>
    <row r="3" spans="1:13" x14ac:dyDescent="0.2">
      <c r="A3">
        <v>2</v>
      </c>
      <c r="B3">
        <v>793545.70018893306</v>
      </c>
      <c r="C3">
        <v>7496</v>
      </c>
      <c r="D3">
        <v>1089817.1378904299</v>
      </c>
      <c r="E3">
        <v>51908938701.046799</v>
      </c>
      <c r="F3">
        <v>53365920147.452202</v>
      </c>
      <c r="G3">
        <v>105274858848.49899</v>
      </c>
      <c r="H3">
        <v>6229072644.1256199</v>
      </c>
      <c r="I3">
        <v>6403910417.6942701</v>
      </c>
      <c r="J3">
        <v>5.7460458023012997</v>
      </c>
      <c r="K3">
        <v>6.2539541976986897</v>
      </c>
      <c r="L3">
        <v>42.333187281905403</v>
      </c>
      <c r="M3">
        <v>46.0636563316069</v>
      </c>
    </row>
    <row r="4" spans="1:13" x14ac:dyDescent="0.2">
      <c r="A4">
        <v>3</v>
      </c>
      <c r="B4">
        <v>840794.53356600797</v>
      </c>
      <c r="C4">
        <v>7683</v>
      </c>
      <c r="D4">
        <v>1151454.4721846599</v>
      </c>
      <c r="E4">
        <v>61456297678.671501</v>
      </c>
      <c r="F4">
        <v>58814168634.514</v>
      </c>
      <c r="G4">
        <v>120270466313.185</v>
      </c>
      <c r="H4">
        <v>7374755721.4405804</v>
      </c>
      <c r="I4">
        <v>7057700236.1416798</v>
      </c>
      <c r="J4">
        <v>5.9139255528672301</v>
      </c>
      <c r="K4">
        <v>6.0860744471327601</v>
      </c>
      <c r="L4">
        <v>43.136828847209998</v>
      </c>
      <c r="M4">
        <v>44.3522258973071</v>
      </c>
    </row>
    <row r="5" spans="1:13" x14ac:dyDescent="0.2">
      <c r="A5">
        <v>4</v>
      </c>
      <c r="B5">
        <v>908975.75731956004</v>
      </c>
      <c r="C5">
        <v>7770</v>
      </c>
      <c r="D5">
        <v>1222612.4450381901</v>
      </c>
      <c r="E5">
        <v>77771666450.744705</v>
      </c>
      <c r="F5">
        <v>71024230777.9785</v>
      </c>
      <c r="G5">
        <v>148795897228.72299</v>
      </c>
      <c r="H5">
        <v>9332599974.0893593</v>
      </c>
      <c r="I5">
        <v>8522907693.35742</v>
      </c>
      <c r="J5">
        <v>6.0364949091847997</v>
      </c>
      <c r="K5">
        <v>5.9635050908151896</v>
      </c>
      <c r="L5">
        <v>43.584424358041403</v>
      </c>
      <c r="M5">
        <v>42.945947139296003</v>
      </c>
    </row>
    <row r="6" spans="1:13" x14ac:dyDescent="0.2">
      <c r="A6">
        <v>5</v>
      </c>
      <c r="B6">
        <v>1019996.63368056</v>
      </c>
      <c r="C6">
        <v>8235</v>
      </c>
      <c r="D6">
        <v>1386220.24466587</v>
      </c>
      <c r="E6">
        <v>99246419167.017105</v>
      </c>
      <c r="F6">
        <v>85201152420.187897</v>
      </c>
      <c r="G6">
        <v>184447571587.20499</v>
      </c>
      <c r="H6">
        <v>11909570300.042</v>
      </c>
      <c r="I6">
        <v>10224138290.422501</v>
      </c>
      <c r="J6">
        <v>6.1990700591458303</v>
      </c>
      <c r="K6">
        <v>5.8009299408541599</v>
      </c>
      <c r="L6">
        <v>44.295711329467998</v>
      </c>
      <c r="M6">
        <v>41.345307989547102</v>
      </c>
    </row>
    <row r="7" spans="1:13" x14ac:dyDescent="0.2">
      <c r="A7">
        <v>6</v>
      </c>
      <c r="B7">
        <v>1068484.42046699</v>
      </c>
      <c r="C7">
        <v>8090</v>
      </c>
      <c r="D7">
        <v>1457594.51263257</v>
      </c>
      <c r="E7">
        <v>116028397706.467</v>
      </c>
      <c r="F7">
        <v>96759078217.309006</v>
      </c>
      <c r="G7">
        <v>212787475923.776</v>
      </c>
      <c r="H7">
        <v>13923407724.7761</v>
      </c>
      <c r="I7">
        <v>11611089386.077</v>
      </c>
      <c r="J7">
        <v>6.3090664458530696</v>
      </c>
      <c r="K7">
        <v>5.6909335541469197</v>
      </c>
      <c r="L7">
        <v>44.638621416228098</v>
      </c>
      <c r="M7">
        <v>40.129577328113498</v>
      </c>
    </row>
    <row r="8" spans="1:13" x14ac:dyDescent="0.2">
      <c r="A8">
        <v>7</v>
      </c>
      <c r="B8">
        <v>1067983.3396169899</v>
      </c>
      <c r="C8">
        <v>8139</v>
      </c>
      <c r="D8">
        <v>1451455.00675021</v>
      </c>
      <c r="E8">
        <v>130538929693.726</v>
      </c>
      <c r="F8">
        <v>104752076051.90199</v>
      </c>
      <c r="G8">
        <v>235291005745.62799</v>
      </c>
      <c r="H8">
        <v>15664671563.247101</v>
      </c>
      <c r="I8">
        <v>12570249126.228201</v>
      </c>
      <c r="J8">
        <v>6.4522365593017499</v>
      </c>
      <c r="K8">
        <v>5.5477634406982403</v>
      </c>
      <c r="L8">
        <v>45.2164280511169</v>
      </c>
      <c r="M8">
        <v>38.776587206918101</v>
      </c>
    </row>
    <row r="9" spans="1:13" x14ac:dyDescent="0.2">
      <c r="A9">
        <v>8</v>
      </c>
      <c r="B9">
        <v>1082721.2222724201</v>
      </c>
      <c r="C9">
        <v>7994</v>
      </c>
      <c r="D9">
        <v>1455780.8477189201</v>
      </c>
      <c r="E9">
        <v>154672145877.44</v>
      </c>
      <c r="F9">
        <v>121629187534.56599</v>
      </c>
      <c r="G9">
        <v>276301333412.00702</v>
      </c>
      <c r="H9">
        <v>18560657505.292801</v>
      </c>
      <c r="I9">
        <v>14595502504.1479</v>
      </c>
      <c r="J9">
        <v>6.5514247508065004</v>
      </c>
      <c r="K9">
        <v>5.4485752491934898</v>
      </c>
      <c r="L9">
        <v>45.384863234416798</v>
      </c>
      <c r="M9">
        <v>37.611965710498303</v>
      </c>
    </row>
    <row r="10" spans="1:13" x14ac:dyDescent="0.2">
      <c r="A10">
        <v>9</v>
      </c>
      <c r="B10">
        <v>1105513.4384469399</v>
      </c>
      <c r="C10">
        <v>7973</v>
      </c>
      <c r="D10">
        <v>1502376.64967517</v>
      </c>
      <c r="E10">
        <v>193949426729.20599</v>
      </c>
      <c r="F10">
        <v>144320737258.28699</v>
      </c>
      <c r="G10">
        <v>338270163987.49298</v>
      </c>
      <c r="H10">
        <v>23273931207.5047</v>
      </c>
      <c r="I10">
        <v>17318488470.994499</v>
      </c>
      <c r="J10">
        <v>6.7486252113573899</v>
      </c>
      <c r="K10">
        <v>5.2513747886426003</v>
      </c>
      <c r="L10">
        <v>45.857069063356398</v>
      </c>
      <c r="M10">
        <v>35.581817249457202</v>
      </c>
    </row>
    <row r="11" spans="1:13" x14ac:dyDescent="0.2">
      <c r="A11">
        <v>10</v>
      </c>
      <c r="B11">
        <v>1036116.8248895</v>
      </c>
      <c r="C11">
        <v>7721</v>
      </c>
      <c r="D11">
        <v>1395352.09435702</v>
      </c>
      <c r="E11">
        <v>281158187991.42999</v>
      </c>
      <c r="F11">
        <v>199488457382.23001</v>
      </c>
      <c r="G11">
        <v>480646645373.66199</v>
      </c>
      <c r="H11">
        <v>33738982558.971699</v>
      </c>
      <c r="I11">
        <v>23938614885.867699</v>
      </c>
      <c r="J11">
        <v>6.9745330462900599</v>
      </c>
      <c r="K11">
        <v>5.0254669537099304</v>
      </c>
      <c r="L11">
        <v>45.662069499021598</v>
      </c>
      <c r="M11">
        <v>32.831855836620001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main_summary</vt:lpstr>
      <vt:lpstr>tax_share</vt:lpstr>
      <vt:lpstr>tax_share_mean</vt:lpstr>
      <vt:lpstr>budget_share</vt:lpstr>
      <vt:lpstr>exempt_by_category</vt:lpstr>
      <vt:lpstr>tax_share_bydecile</vt:lpstr>
      <vt:lpstr>vat_paid_and_foregone</vt:lpstr>
      <vt:lpstr>senior_summary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</dc:creator>
  <cp:lastModifiedBy>EU</cp:lastModifiedBy>
  <dcterms:created xsi:type="dcterms:W3CDTF">2026-03-10T09:34:31Z</dcterms:created>
  <dcterms:modified xsi:type="dcterms:W3CDTF">2026-03-10T11:10:12Z</dcterms:modified>
</cp:coreProperties>
</file>