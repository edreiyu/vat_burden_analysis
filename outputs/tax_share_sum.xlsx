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reiyu/Documents/Projects/vat_burden_analysis/outputs/"/>
    </mc:Choice>
  </mc:AlternateContent>
  <xr:revisionPtr revIDLastSave="0" documentId="13_ncr:1_{88A3E632-A166-614F-A7D0-A63F82CC1DDD}" xr6:coauthVersionLast="47" xr6:coauthVersionMax="47" xr10:uidLastSave="{00000000-0000-0000-0000-000000000000}"/>
  <bookViews>
    <workbookView xWindow="460" yWindow="540" windowWidth="24900" windowHeight="19480" activeTab="6" xr2:uid="{EE8D4940-C3F8-D340-AF33-192918B31EA6}"/>
  </bookViews>
  <sheets>
    <sheet name="tax_share" sheetId="1" r:id="rId1"/>
    <sheet name="tax_share_bydecile" sheetId="5" r:id="rId2"/>
    <sheet name="budget_share" sheetId="7" r:id="rId3"/>
    <sheet name="main_summary" sheetId="3" r:id="rId4"/>
    <sheet name="exempt_by_category" sheetId="4" r:id="rId5"/>
    <sheet name="vat_paid_and_foregone" sheetId="6" r:id="rId6"/>
    <sheet name="senior_summary" sheetId="8" r:id="rId7"/>
    <sheet name="main_summary-xx" sheetId="2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3" i="6" l="1"/>
  <c r="P13" i="6"/>
  <c r="S12" i="6"/>
  <c r="S11" i="6"/>
  <c r="S10" i="6"/>
  <c r="S9" i="6"/>
  <c r="S8" i="6"/>
  <c r="S7" i="6"/>
  <c r="S6" i="6"/>
  <c r="S5" i="6"/>
  <c r="S4" i="6"/>
  <c r="S3" i="6"/>
  <c r="O12" i="5"/>
  <c r="N12" i="5"/>
  <c r="F16" i="4"/>
  <c r="G16" i="4"/>
  <c r="H16" i="4"/>
  <c r="I16" i="4"/>
  <c r="J16" i="4"/>
  <c r="K16" i="4"/>
  <c r="L16" i="4"/>
  <c r="M16" i="4"/>
  <c r="F17" i="4"/>
  <c r="G17" i="4"/>
  <c r="H17" i="4"/>
  <c r="I17" i="4"/>
  <c r="J17" i="4"/>
  <c r="K17" i="4"/>
  <c r="L17" i="4"/>
  <c r="M17" i="4"/>
  <c r="F18" i="4"/>
  <c r="G18" i="4"/>
  <c r="H18" i="4"/>
  <c r="I18" i="4"/>
  <c r="J18" i="4"/>
  <c r="K18" i="4"/>
  <c r="L18" i="4"/>
  <c r="M18" i="4"/>
  <c r="F19" i="4"/>
  <c r="G19" i="4"/>
  <c r="H19" i="4"/>
  <c r="I19" i="4"/>
  <c r="J19" i="4"/>
  <c r="K19" i="4"/>
  <c r="L19" i="4"/>
  <c r="M19" i="4"/>
  <c r="F20" i="4"/>
  <c r="G20" i="4"/>
  <c r="H20" i="4"/>
  <c r="I20" i="4"/>
  <c r="J20" i="4"/>
  <c r="K20" i="4"/>
  <c r="L20" i="4"/>
  <c r="M20" i="4"/>
  <c r="F21" i="4"/>
  <c r="G21" i="4"/>
  <c r="H21" i="4"/>
  <c r="I21" i="4"/>
  <c r="J21" i="4"/>
  <c r="K21" i="4"/>
  <c r="L21" i="4"/>
  <c r="M21" i="4"/>
  <c r="F22" i="4"/>
  <c r="G22" i="4"/>
  <c r="H22" i="4"/>
  <c r="I22" i="4"/>
  <c r="J22" i="4"/>
  <c r="K22" i="4"/>
  <c r="L22" i="4"/>
  <c r="M22" i="4"/>
  <c r="F23" i="4"/>
  <c r="G23" i="4"/>
  <c r="H23" i="4"/>
  <c r="I23" i="4"/>
  <c r="J23" i="4"/>
  <c r="K23" i="4"/>
  <c r="L23" i="4"/>
  <c r="M23" i="4"/>
  <c r="F24" i="4"/>
  <c r="G24" i="4"/>
  <c r="H24" i="4"/>
  <c r="I24" i="4"/>
  <c r="J24" i="4"/>
  <c r="K24" i="4"/>
  <c r="L24" i="4"/>
  <c r="M24" i="4"/>
  <c r="G15" i="4"/>
  <c r="H15" i="4"/>
  <c r="I15" i="4"/>
  <c r="J15" i="4"/>
  <c r="K15" i="4"/>
  <c r="L15" i="4"/>
  <c r="M15" i="4"/>
  <c r="F15" i="4"/>
  <c r="V11" i="4"/>
  <c r="V2" i="4"/>
  <c r="G14" i="2"/>
  <c r="F14" i="2"/>
  <c r="E14" i="2"/>
  <c r="D14" i="2"/>
  <c r="G15" i="2"/>
  <c r="F15" i="2"/>
  <c r="E15" i="2"/>
  <c r="D15" i="2"/>
  <c r="C15" i="2"/>
  <c r="C14" i="2"/>
  <c r="G13" i="2"/>
  <c r="F13" i="2"/>
  <c r="E13" i="2"/>
  <c r="D13" i="2"/>
  <c r="C13" i="2"/>
  <c r="B13" i="2"/>
  <c r="L14" i="2"/>
  <c r="J14" i="2"/>
  <c r="G17" i="2"/>
  <c r="F17" i="2"/>
  <c r="N4" i="1"/>
  <c r="N5" i="1"/>
  <c r="N6" i="1"/>
  <c r="N7" i="1"/>
  <c r="N8" i="1"/>
  <c r="N9" i="1"/>
  <c r="N10" i="1"/>
  <c r="N11" i="1"/>
  <c r="N12" i="1"/>
  <c r="N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EU</author>
    <author>tc={8C6BB57B-27B5-5A4F-8438-7F8706399291}</author>
  </authors>
  <commentList>
    <comment ref="H1" authorId="0" shapeId="0" xr:uid="{AE4240B5-AC1C-0F43-AA0E-3B4FB9D08204}">
      <text>
        <r>
          <rPr>
            <b/>
            <sz val="10"/>
            <color rgb="FF000000"/>
            <rFont val="Tahoma"/>
            <family val="2"/>
          </rPr>
          <t>EU: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Average of ratios by decile</t>
        </r>
      </text>
    </comment>
    <comment ref="J1" authorId="0" shapeId="0" xr:uid="{34D74EF3-418C-004C-AD8C-2DDE44588179}">
      <text>
        <r>
          <rPr>
            <b/>
            <sz val="10"/>
            <color rgb="FF000000"/>
            <rFont val="Tahoma"/>
            <family val="2"/>
          </rPr>
          <t>EU: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Total vat paid / total expenditures</t>
        </r>
      </text>
    </comment>
    <comment ref="K1" authorId="1" shapeId="0" xr:uid="{8C6BB57B-27B5-5A4F-8438-7F8706399291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vat foregone / total expenditures</t>
      </text>
    </comment>
  </commentList>
</comments>
</file>

<file path=xl/sharedStrings.xml><?xml version="1.0" encoding="utf-8"?>
<sst xmlns="http://schemas.openxmlformats.org/spreadsheetml/2006/main" count="176" uniqueCount="109">
  <si>
    <t>NPCINC</t>
  </si>
  <si>
    <t>number_households</t>
  </si>
  <si>
    <t>total_income</t>
  </si>
  <si>
    <t>total_HH_expenditures</t>
  </si>
  <si>
    <t>vatable_expenditures</t>
  </si>
  <si>
    <t>exempt_expenditures</t>
  </si>
  <si>
    <t>total_expenditures</t>
  </si>
  <si>
    <t>vatable_share_exp</t>
  </si>
  <si>
    <t>exempt_share_exp</t>
  </si>
  <si>
    <t>vatable_share_income</t>
  </si>
  <si>
    <t>exempt_share_income</t>
  </si>
  <si>
    <t>vatable_share_HHexp</t>
  </si>
  <si>
    <t>exempt_share_HHexp</t>
  </si>
  <si>
    <t>Average_monthly_perHH</t>
  </si>
  <si>
    <t>Share to FIES expenditure</t>
  </si>
  <si>
    <t>Share to FIES income</t>
  </si>
  <si>
    <t>Share to computed total expenditure (vatable + exempt)</t>
  </si>
  <si>
    <t>Total monthly vatable spending</t>
  </si>
  <si>
    <t>Total exempt vatable spending</t>
  </si>
  <si>
    <t>total_vatable_expenditures</t>
  </si>
  <si>
    <t>total_exempt_expenditures</t>
  </si>
  <si>
    <t>total_vat_paid</t>
  </si>
  <si>
    <t>total_vat_foregone</t>
  </si>
  <si>
    <t>weighted_sum_vat_etr</t>
  </si>
  <si>
    <t>weighted_sum_foregone_etr</t>
  </si>
  <si>
    <t>population_vat_etr</t>
  </si>
  <si>
    <t>population_vat_foregone_etr</t>
  </si>
  <si>
    <t>avg_vat_etr</t>
  </si>
  <si>
    <t>avg_vat_foregone_etr</t>
  </si>
  <si>
    <t>population adjusted</t>
  </si>
  <si>
    <t>vatable + exempt</t>
  </si>
  <si>
    <t>vatable * 12%</t>
  </si>
  <si>
    <t>exempt * 12%</t>
  </si>
  <si>
    <t>vat_paid_to_total_expenditures * sum (RFACT)</t>
  </si>
  <si>
    <t>total_vat_paid / total_expenditures * 100</t>
  </si>
  <si>
    <t>weighted_sum_vat_etr / number_households</t>
  </si>
  <si>
    <t>I want to get the etr for each HH (or ROW), then get the average = average ETR</t>
  </si>
  <si>
    <t xml:space="preserve">or </t>
  </si>
  <si>
    <t>simple get the average ETR per decile / also check min and max of ETR range</t>
  </si>
  <si>
    <t>Total monthly</t>
  </si>
  <si>
    <t>Total annual</t>
  </si>
  <si>
    <t>billions</t>
  </si>
  <si>
    <t>sum_vat_etr</t>
  </si>
  <si>
    <t>sum_vat_foregone_etr</t>
  </si>
  <si>
    <t>food_exempt</t>
  </si>
  <si>
    <t>housing_&amp;utilities_exempt</t>
  </si>
  <si>
    <t>furnishings_&amp;maintenance_exempt</t>
  </si>
  <si>
    <t>health_exempt</t>
  </si>
  <si>
    <t>transport_exempt</t>
  </si>
  <si>
    <t>recreation_exempt</t>
  </si>
  <si>
    <t>education_exempt</t>
  </si>
  <si>
    <t>insurance_&amp;financial_exempt</t>
  </si>
  <si>
    <t>food_exempt_share</t>
  </si>
  <si>
    <t>housing_&amp;utilities_exempt_share</t>
  </si>
  <si>
    <t>furnishings_&amp;maintenance_exempt_share</t>
  </si>
  <si>
    <t>health_exempt_share</t>
  </si>
  <si>
    <t>transport_exempt_share</t>
  </si>
  <si>
    <t>recreation_exempt_share</t>
  </si>
  <si>
    <t>education_exempt_share</t>
  </si>
  <si>
    <t>insurance_&amp;financial_exempt_share</t>
  </si>
  <si>
    <t>in contrast, the share of exempt food spending for the richest decile is only 14% of their total expenditures</t>
  </si>
  <si>
    <t>So the poor benefits more from vat exemption on food.</t>
  </si>
  <si>
    <t>56% of total expenditures of poorest HH are exempt from VAT</t>
  </si>
  <si>
    <t>NOTES</t>
  </si>
  <si>
    <t>vatable_share_decile</t>
  </si>
  <si>
    <t>exempt_share_decile</t>
  </si>
  <si>
    <t>estimated_vat_paid</t>
  </si>
  <si>
    <t>estimated_vat_foregone</t>
  </si>
  <si>
    <t>effective_vat_rate</t>
  </si>
  <si>
    <t>This is monthly</t>
  </si>
  <si>
    <t>food</t>
  </si>
  <si>
    <t>alcohol_&amp;cigarettes</t>
  </si>
  <si>
    <t>clothing</t>
  </si>
  <si>
    <t>housing_&amp;utilities</t>
  </si>
  <si>
    <t>furnishings_&amp;maintenance</t>
  </si>
  <si>
    <t>health</t>
  </si>
  <si>
    <t>transport</t>
  </si>
  <si>
    <t>ict_&amp;equipments</t>
  </si>
  <si>
    <t>recreation</t>
  </si>
  <si>
    <t>education</t>
  </si>
  <si>
    <t>resto_&amp;accomodation</t>
  </si>
  <si>
    <t>insurance_&amp;financial</t>
  </si>
  <si>
    <t>personal_care</t>
  </si>
  <si>
    <t>family_occasions</t>
  </si>
  <si>
    <t>food_share</t>
  </si>
  <si>
    <t>alcohol_&amp;cigarettes_share</t>
  </si>
  <si>
    <t>clothing_share</t>
  </si>
  <si>
    <t>housing_&amp;utilities_share</t>
  </si>
  <si>
    <t>furnishings_&amp;maintenance_share</t>
  </si>
  <si>
    <t>health_share</t>
  </si>
  <si>
    <t>transport_share</t>
  </si>
  <si>
    <t>ict_&amp;equipments_share</t>
  </si>
  <si>
    <t>recreation_share</t>
  </si>
  <si>
    <t>education_share</t>
  </si>
  <si>
    <t>resto_&amp;accomodation_share</t>
  </si>
  <si>
    <t>insurance_&amp;financial_share</t>
  </si>
  <si>
    <t>personal_care_share</t>
  </si>
  <si>
    <t>family_occasions_share</t>
  </si>
  <si>
    <t>Ratio of the VAT paid to total expenditures</t>
  </si>
  <si>
    <t>The ETR rises as income rises</t>
  </si>
  <si>
    <t>the share of exempt food spending for the poorest decile is 40% of their total EXEMPT expenditures</t>
  </si>
  <si>
    <t>SHARE OF TOTAL EXEMPT SPENDING</t>
  </si>
  <si>
    <r>
      <t xml:space="preserve">Share of spending on exempt goods/services </t>
    </r>
    <r>
      <rPr>
        <sz val="12"/>
        <color rgb="FFFF0000"/>
        <rFont val="Aptos Narrow (Body)"/>
      </rPr>
      <t>to total HH expenditures</t>
    </r>
  </si>
  <si>
    <t xml:space="preserve">A REDUCTION IN VAT RATE DOES NOT BENEFIT THE POOR (RELATIVE TO RICHER HH) </t>
  </si>
  <si>
    <t>SINCE MOST OF THEIR SPENDING ARE ALREADY EXEMPT</t>
  </si>
  <si>
    <t>Half of total spending of the richest decile are exempt from VAT</t>
  </si>
  <si>
    <t>number_households_with_seniors</t>
  </si>
  <si>
    <t>number_seniors</t>
  </si>
  <si>
    <t>weighted_number_seniors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</si>
</sst>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  <numFmt numFmtId="166" formatCode="0.0%"/>
  </numFmts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2"/>
      <color rgb="FFFF0000"/>
      <name val="Aptos Narrow (Body)"/>
    </font>
    <font>
      <sz val="14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43" fontId="0" fillId="0" borderId="0" xfId="1" applyFont="1"/>
    <xf numFmtId="164" fontId="0" fillId="0" borderId="0" xfId="1" applyNumberFormat="1" applyFont="1"/>
    <xf numFmtId="165" fontId="0" fillId="0" borderId="0" xfId="1" applyNumberFormat="1" applyFont="1"/>
    <xf numFmtId="0" fontId="0" fillId="0" borderId="0" xfId="0" applyAlignment="1">
      <alignment horizontal="center" vertical="center" wrapText="1"/>
    </xf>
    <xf numFmtId="165" fontId="0" fillId="0" borderId="0" xfId="1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165" fontId="14" fillId="0" borderId="0" xfId="1" applyNumberFormat="1" applyFont="1" applyAlignment="1">
      <alignment horizontal="center" vertical="center" wrapText="1"/>
    </xf>
    <xf numFmtId="10" fontId="0" fillId="0" borderId="0" xfId="2" applyNumberFormat="1" applyFont="1"/>
    <xf numFmtId="9" fontId="0" fillId="0" borderId="0" xfId="2" applyFont="1"/>
    <xf numFmtId="164" fontId="0" fillId="0" borderId="0" xfId="0" applyNumberFormat="1"/>
    <xf numFmtId="9" fontId="0" fillId="0" borderId="10" xfId="2" applyFont="1" applyBorder="1"/>
    <xf numFmtId="9" fontId="0" fillId="0" borderId="11" xfId="2" applyFont="1" applyBorder="1"/>
    <xf numFmtId="9" fontId="0" fillId="0" borderId="12" xfId="2" applyFont="1" applyBorder="1"/>
    <xf numFmtId="0" fontId="0" fillId="0" borderId="0" xfId="0" applyAlignment="1">
      <alignment wrapText="1"/>
    </xf>
    <xf numFmtId="165" fontId="0" fillId="0" borderId="0" xfId="1" applyNumberFormat="1" applyFont="1" applyAlignment="1">
      <alignment wrapText="1"/>
    </xf>
    <xf numFmtId="43" fontId="0" fillId="0" borderId="0" xfId="1" applyFont="1" applyAlignment="1">
      <alignment wrapText="1"/>
    </xf>
    <xf numFmtId="0" fontId="0" fillId="0" borderId="0" xfId="0" applyAlignment="1">
      <alignment vertical="top" wrapText="1"/>
    </xf>
    <xf numFmtId="165" fontId="0" fillId="0" borderId="0" xfId="1" applyNumberFormat="1" applyFont="1" applyAlignment="1">
      <alignment vertical="top" wrapText="1"/>
    </xf>
    <xf numFmtId="43" fontId="0" fillId="0" borderId="0" xfId="1" applyFont="1" applyAlignment="1">
      <alignment vertical="top" wrapText="1"/>
    </xf>
    <xf numFmtId="0" fontId="0" fillId="0" borderId="0" xfId="0" applyAlignment="1">
      <alignment horizontal="center"/>
    </xf>
    <xf numFmtId="166" fontId="0" fillId="0" borderId="0" xfId="2" applyNumberFormat="1" applyFont="1" applyAlignment="1">
      <alignment horizontal="center"/>
    </xf>
    <xf numFmtId="43" fontId="0" fillId="33" borderId="0" xfId="1" applyFont="1" applyFill="1"/>
    <xf numFmtId="165" fontId="0" fillId="33" borderId="0" xfId="1" applyNumberFormat="1" applyFont="1" applyFill="1"/>
    <xf numFmtId="0" fontId="0" fillId="0" borderId="0" xfId="0" applyAlignment="1">
      <alignment horizontal="center" vertical="center"/>
    </xf>
    <xf numFmtId="165" fontId="0" fillId="0" borderId="0" xfId="1" applyNumberFormat="1" applyFont="1" applyFill="1" applyAlignment="1">
      <alignment horizontal="center" vertical="center" wrapText="1"/>
    </xf>
    <xf numFmtId="0" fontId="0" fillId="33" borderId="0" xfId="0" applyFill="1" applyAlignment="1">
      <alignment horizontal="center" vertical="center" wrapText="1"/>
    </xf>
    <xf numFmtId="0" fontId="21" fillId="33" borderId="0" xfId="0" applyFont="1" applyFill="1"/>
    <xf numFmtId="0" fontId="0" fillId="33" borderId="0" xfId="0" applyFill="1"/>
    <xf numFmtId="0" fontId="14" fillId="33" borderId="0" xfId="0" applyFont="1" applyFill="1" applyAlignment="1">
      <alignment horizontal="center" vertical="center"/>
    </xf>
    <xf numFmtId="0" fontId="0" fillId="33" borderId="0" xfId="0" applyFill="1" applyAlignment="1">
      <alignment horizontal="center" vertical="center"/>
    </xf>
    <xf numFmtId="165" fontId="0" fillId="33" borderId="0" xfId="0" applyNumberFormat="1" applyFill="1"/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Percent" xfId="2" builtinId="5"/>
    <cellStyle name="Title" xfId="3" builtinId="15" customBuiltin="1"/>
    <cellStyle name="Total" xfId="19" builtinId="25" customBuiltin="1"/>
    <cellStyle name="Warning Text" xfId="16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U" id="{5E0609C9-F47C-1240-A063-C18A34FDDA35}" userId="EU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" dT="2025-11-25T09:34:07.87" personId="{5E0609C9-F47C-1240-A063-C18A34FDDA35}" id="{8C6BB57B-27B5-5A4F-8438-7F8706399291}">
    <text>total vat foregone / total expenditures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3A3A6-21B0-C748-9C6F-D3C4321EDE44}">
  <dimension ref="A1:N16"/>
  <sheetViews>
    <sheetView zoomScale="130" zoomScaleNormal="130" workbookViewId="0">
      <selection activeCell="L17" sqref="L17"/>
    </sheetView>
  </sheetViews>
  <sheetFormatPr baseColWidth="10" defaultRowHeight="16" x14ac:dyDescent="0.2"/>
  <cols>
    <col min="1" max="1" width="9.1640625" customWidth="1"/>
    <col min="2" max="2" width="13" style="3" bestFit="1" customWidth="1"/>
    <col min="3" max="4" width="18.6640625" style="3" bestFit="1" customWidth="1"/>
    <col min="5" max="6" width="17.6640625" style="3" bestFit="1" customWidth="1"/>
    <col min="7" max="7" width="18.6640625" style="3" bestFit="1" customWidth="1"/>
    <col min="8" max="13" width="11" style="3" bestFit="1" customWidth="1"/>
    <col min="14" max="14" width="17.83203125" style="1" customWidth="1"/>
  </cols>
  <sheetData>
    <row r="1" spans="1:14" s="4" customFormat="1" ht="40" customHeight="1" x14ac:dyDescent="0.2">
      <c r="B1" s="5"/>
      <c r="C1" s="5"/>
      <c r="D1" s="5"/>
      <c r="E1" s="5" t="s">
        <v>17</v>
      </c>
      <c r="F1" s="5" t="s">
        <v>18</v>
      </c>
      <c r="G1" s="5"/>
      <c r="H1" s="5"/>
      <c r="I1" s="5"/>
      <c r="J1" s="5"/>
      <c r="K1" s="5"/>
      <c r="L1" s="5"/>
      <c r="M1" s="5"/>
      <c r="N1" s="6"/>
    </row>
    <row r="2" spans="1:14" s="4" customFormat="1" ht="51" x14ac:dyDescent="0.2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6" t="s">
        <v>13</v>
      </c>
    </row>
    <row r="3" spans="1:14" x14ac:dyDescent="0.2">
      <c r="A3">
        <v>1</v>
      </c>
      <c r="B3" s="3">
        <v>2747642.50515944</v>
      </c>
      <c r="C3" s="3">
        <v>32807166219.147499</v>
      </c>
      <c r="D3" s="3">
        <v>29276373226.599098</v>
      </c>
      <c r="E3" s="3">
        <v>12730887016.797501</v>
      </c>
      <c r="F3" s="3">
        <v>16287403643.337299</v>
      </c>
      <c r="G3" s="3">
        <v>29018290660.1348</v>
      </c>
      <c r="H3" s="2">
        <v>43.871939825480901</v>
      </c>
      <c r="I3" s="2">
        <v>56.128060174519</v>
      </c>
      <c r="J3" s="2">
        <v>38.805201679891702</v>
      </c>
      <c r="K3" s="2">
        <v>49.645871681021198</v>
      </c>
      <c r="L3" s="2">
        <v>43.485191687715101</v>
      </c>
      <c r="M3" s="2">
        <v>55.633269590030203</v>
      </c>
      <c r="N3" s="1">
        <f>G3/B3</f>
        <v>10561.159468760994</v>
      </c>
    </row>
    <row r="4" spans="1:14" x14ac:dyDescent="0.2">
      <c r="A4">
        <v>2</v>
      </c>
      <c r="B4" s="3">
        <v>2748295.6540946802</v>
      </c>
      <c r="C4" s="3">
        <v>41822410674.936996</v>
      </c>
      <c r="D4" s="3">
        <v>35426039310.566101</v>
      </c>
      <c r="E4" s="3">
        <v>16171881744.9347</v>
      </c>
      <c r="F4" s="3">
        <v>18893257154.780602</v>
      </c>
      <c r="G4" s="3">
        <v>35065138899.715302</v>
      </c>
      <c r="H4" s="2">
        <v>46.119542806277003</v>
      </c>
      <c r="I4" s="2">
        <v>53.880457193722897</v>
      </c>
      <c r="J4" s="2">
        <v>38.667980835992402</v>
      </c>
      <c r="K4" s="2">
        <v>45.174959668460197</v>
      </c>
      <c r="L4" s="2">
        <v>45.649703042336199</v>
      </c>
      <c r="M4" s="2">
        <v>53.331553632487299</v>
      </c>
      <c r="N4" s="1">
        <f t="shared" ref="N4:N12" si="0">G4/B4</f>
        <v>12758.867062745532</v>
      </c>
    </row>
    <row r="5" spans="1:14" x14ac:dyDescent="0.2">
      <c r="A5">
        <v>3</v>
      </c>
      <c r="B5" s="3">
        <v>2747874.69444041</v>
      </c>
      <c r="C5" s="3">
        <v>47728594014.963997</v>
      </c>
      <c r="D5" s="3">
        <v>39497871055.729301</v>
      </c>
      <c r="E5" s="3">
        <v>18492395560.589802</v>
      </c>
      <c r="F5" s="3">
        <v>20558976669.909401</v>
      </c>
      <c r="G5" s="3">
        <v>39051372230.499298</v>
      </c>
      <c r="H5" s="2">
        <v>47.354022418057802</v>
      </c>
      <c r="I5" s="2">
        <v>52.645977581942098</v>
      </c>
      <c r="J5" s="2">
        <v>38.744899032207101</v>
      </c>
      <c r="K5" s="2">
        <v>43.074758630986999</v>
      </c>
      <c r="L5" s="2">
        <v>46.8187146960353</v>
      </c>
      <c r="M5" s="2">
        <v>52.050847603664103</v>
      </c>
      <c r="N5" s="1">
        <f t="shared" si="0"/>
        <v>14211.48217184332</v>
      </c>
    </row>
    <row r="6" spans="1:14" x14ac:dyDescent="0.2">
      <c r="A6">
        <v>4</v>
      </c>
      <c r="B6" s="3">
        <v>2747979.4784429399</v>
      </c>
      <c r="C6" s="3">
        <v>55228987672.520798</v>
      </c>
      <c r="D6" s="3">
        <v>44792749154.822098</v>
      </c>
      <c r="E6" s="3">
        <v>21174220742.446899</v>
      </c>
      <c r="F6" s="3">
        <v>23060388456.8377</v>
      </c>
      <c r="G6" s="3">
        <v>44234609199.284698</v>
      </c>
      <c r="H6" s="2">
        <v>47.867995503370103</v>
      </c>
      <c r="I6" s="2">
        <v>52.132004496629797</v>
      </c>
      <c r="J6" s="2">
        <v>38.338962263800802</v>
      </c>
      <c r="K6" s="2">
        <v>41.754139318239503</v>
      </c>
      <c r="L6" s="2">
        <v>47.271536447249801</v>
      </c>
      <c r="M6" s="2">
        <v>51.4824137655215</v>
      </c>
      <c r="N6" s="1">
        <f t="shared" si="0"/>
        <v>16097.13956974268</v>
      </c>
    </row>
    <row r="7" spans="1:14" x14ac:dyDescent="0.2">
      <c r="A7">
        <v>5</v>
      </c>
      <c r="B7" s="3">
        <v>2747628.8515828899</v>
      </c>
      <c r="C7" s="3">
        <v>62300009849.796898</v>
      </c>
      <c r="D7" s="3">
        <v>49501029635.587097</v>
      </c>
      <c r="E7" s="3">
        <v>23802239836.017101</v>
      </c>
      <c r="F7" s="3">
        <v>25029174922.970699</v>
      </c>
      <c r="G7" s="3">
        <v>48831414758.9879</v>
      </c>
      <c r="H7" s="2">
        <v>48.743703113037597</v>
      </c>
      <c r="I7" s="2">
        <v>51.256296886962197</v>
      </c>
      <c r="J7" s="2">
        <v>38.205836392969204</v>
      </c>
      <c r="K7" s="2">
        <v>40.175234295010902</v>
      </c>
      <c r="L7" s="2">
        <v>48.084332813362899</v>
      </c>
      <c r="M7" s="2">
        <v>50.5629379979136</v>
      </c>
      <c r="N7" s="1">
        <f t="shared" si="0"/>
        <v>17772.201922707449</v>
      </c>
    </row>
    <row r="8" spans="1:14" x14ac:dyDescent="0.2">
      <c r="A8">
        <v>6</v>
      </c>
      <c r="B8" s="3">
        <v>2748336.9317767601</v>
      </c>
      <c r="C8" s="3">
        <v>70697712578.309692</v>
      </c>
      <c r="D8" s="3">
        <v>54853430904.834999</v>
      </c>
      <c r="E8" s="3">
        <v>26514380477.310398</v>
      </c>
      <c r="F8" s="3">
        <v>27502940702.588501</v>
      </c>
      <c r="G8" s="3">
        <v>54017321179.898903</v>
      </c>
      <c r="H8" s="2">
        <v>49.084959968686903</v>
      </c>
      <c r="I8" s="2">
        <v>50.915040031313097</v>
      </c>
      <c r="J8" s="2">
        <v>37.503873195248303</v>
      </c>
      <c r="K8" s="2">
        <v>38.902164864420897</v>
      </c>
      <c r="L8" s="2">
        <v>48.336776824972098</v>
      </c>
      <c r="M8" s="2">
        <v>50.138961681910502</v>
      </c>
      <c r="N8" s="1">
        <f t="shared" si="0"/>
        <v>19654.54837627113</v>
      </c>
    </row>
    <row r="9" spans="1:14" x14ac:dyDescent="0.2">
      <c r="A9">
        <v>7</v>
      </c>
      <c r="B9" s="3">
        <v>2747846.3569293302</v>
      </c>
      <c r="C9" s="3">
        <v>80541995781.497406</v>
      </c>
      <c r="D9" s="3">
        <v>60962714759.237099</v>
      </c>
      <c r="E9" s="3">
        <v>29742875498.603001</v>
      </c>
      <c r="F9" s="3">
        <v>30134718319.903301</v>
      </c>
      <c r="G9" s="3">
        <v>59877593818.506302</v>
      </c>
      <c r="H9" s="2">
        <v>49.672796787319001</v>
      </c>
      <c r="I9" s="2">
        <v>50.327203212680899</v>
      </c>
      <c r="J9" s="2">
        <v>36.928406367396803</v>
      </c>
      <c r="K9" s="2">
        <v>37.414913831606398</v>
      </c>
      <c r="L9" s="2">
        <v>48.788633537840099</v>
      </c>
      <c r="M9" s="2">
        <v>49.431391693949003</v>
      </c>
      <c r="N9" s="1">
        <f t="shared" si="0"/>
        <v>21790.735740195625</v>
      </c>
    </row>
    <row r="10" spans="1:14" x14ac:dyDescent="0.2">
      <c r="A10">
        <v>8</v>
      </c>
      <c r="B10" s="3">
        <v>2747984.4327531499</v>
      </c>
      <c r="C10" s="3">
        <v>95316514865.332199</v>
      </c>
      <c r="D10" s="3">
        <v>69592985603.748001</v>
      </c>
      <c r="E10" s="3">
        <v>33989743428.753101</v>
      </c>
      <c r="F10" s="3">
        <v>34113196809.400902</v>
      </c>
      <c r="G10" s="3">
        <v>68102940238.154099</v>
      </c>
      <c r="H10" s="2">
        <v>49.909362664654402</v>
      </c>
      <c r="I10" s="2">
        <v>50.090637335345598</v>
      </c>
      <c r="J10" s="2">
        <v>35.659868047814697</v>
      </c>
      <c r="K10" s="2">
        <v>35.789387450430397</v>
      </c>
      <c r="L10" s="2">
        <v>48.8407605075109</v>
      </c>
      <c r="M10" s="2">
        <v>49.018153932403898</v>
      </c>
      <c r="N10" s="1">
        <f t="shared" si="0"/>
        <v>24782.869737701949</v>
      </c>
    </row>
    <row r="11" spans="1:14" x14ac:dyDescent="0.2">
      <c r="A11">
        <v>9</v>
      </c>
      <c r="B11" s="3">
        <v>2748042.5822946099</v>
      </c>
      <c r="C11" s="3">
        <v>117372854152.933</v>
      </c>
      <c r="D11" s="3">
        <v>82061193028.969299</v>
      </c>
      <c r="E11" s="3">
        <v>40088129768.291</v>
      </c>
      <c r="F11" s="3">
        <v>39657623068.682297</v>
      </c>
      <c r="G11" s="3">
        <v>79745752836.973297</v>
      </c>
      <c r="H11" s="2">
        <v>50.269924531585197</v>
      </c>
      <c r="I11" s="2">
        <v>49.730075468414697</v>
      </c>
      <c r="J11" s="2">
        <v>34.154515588465898</v>
      </c>
      <c r="K11" s="2">
        <v>33.7877300120943</v>
      </c>
      <c r="L11" s="2">
        <v>48.851507379546597</v>
      </c>
      <c r="M11" s="2">
        <v>48.326890707867697</v>
      </c>
      <c r="N11" s="1">
        <f t="shared" si="0"/>
        <v>29019.111039533367</v>
      </c>
    </row>
    <row r="12" spans="1:14" x14ac:dyDescent="0.2">
      <c r="A12">
        <v>10</v>
      </c>
      <c r="B12" s="3">
        <v>2748063.5193039002</v>
      </c>
      <c r="C12" s="3">
        <v>205068163103.01001</v>
      </c>
      <c r="D12" s="3">
        <v>124958992792.82401</v>
      </c>
      <c r="E12" s="3">
        <v>59564986259.146202</v>
      </c>
      <c r="F12" s="3">
        <v>59038151385.299301</v>
      </c>
      <c r="G12" s="3">
        <v>118603137644.44501</v>
      </c>
      <c r="H12" s="2">
        <v>50.222099888885801</v>
      </c>
      <c r="I12" s="2">
        <v>49.7779001111141</v>
      </c>
      <c r="J12" s="2">
        <v>29.046432833762299</v>
      </c>
      <c r="K12" s="2">
        <v>28.7895256347729</v>
      </c>
      <c r="L12" s="2">
        <v>47.667626737278198</v>
      </c>
      <c r="M12" s="2">
        <v>47.246020527055002</v>
      </c>
      <c r="N12" s="1">
        <f t="shared" si="0"/>
        <v>43158.805031729338</v>
      </c>
    </row>
    <row r="13" spans="1:14" x14ac:dyDescent="0.2">
      <c r="H13" s="1"/>
    </row>
    <row r="14" spans="1:14" s="17" customFormat="1" ht="51" x14ac:dyDescent="0.2">
      <c r="B14" s="18"/>
      <c r="C14" s="18"/>
      <c r="D14" s="18"/>
      <c r="E14" s="18"/>
      <c r="F14" s="18"/>
      <c r="G14" s="18"/>
      <c r="H14" s="18"/>
      <c r="I14" s="18"/>
      <c r="J14" s="18" t="s">
        <v>15</v>
      </c>
      <c r="K14" s="18"/>
      <c r="L14" s="18" t="s">
        <v>14</v>
      </c>
      <c r="M14" s="18"/>
      <c r="N14" s="19"/>
    </row>
    <row r="15" spans="1:14" s="17" customFormat="1" ht="102" x14ac:dyDescent="0.2">
      <c r="B15" s="18"/>
      <c r="C15" s="18"/>
      <c r="D15" s="18"/>
      <c r="E15" s="18"/>
      <c r="F15" s="18"/>
      <c r="G15" s="18"/>
      <c r="H15" s="18" t="s">
        <v>16</v>
      </c>
      <c r="I15" s="18"/>
      <c r="J15" s="18"/>
      <c r="K15" s="18"/>
      <c r="L15" s="18"/>
      <c r="M15" s="18"/>
      <c r="N15" s="19"/>
    </row>
    <row r="16" spans="1:14" s="14" customFormat="1" x14ac:dyDescent="0.2"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6"/>
    </row>
  </sheetData>
  <conditionalFormatting sqref="H3:H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4DD6E-9753-F443-8851-2FA8C38B9693}">
  <dimension ref="A1:O12"/>
  <sheetViews>
    <sheetView zoomScale="120" zoomScaleNormal="120" workbookViewId="0">
      <selection activeCell="S16" sqref="S16"/>
    </sheetView>
  </sheetViews>
  <sheetFormatPr baseColWidth="10" defaultRowHeight="16" x14ac:dyDescent="0.2"/>
  <cols>
    <col min="1" max="1" width="9.33203125" customWidth="1"/>
    <col min="2" max="2" width="13" style="3" bestFit="1" customWidth="1"/>
    <col min="3" max="4" width="18.6640625" style="3" bestFit="1" customWidth="1"/>
    <col min="5" max="6" width="17.6640625" style="3" bestFit="1" customWidth="1"/>
    <col min="7" max="7" width="18.6640625" style="3" bestFit="1" customWidth="1"/>
    <col min="8" max="13" width="11" style="3" hidden="1" customWidth="1"/>
    <col min="14" max="15" width="11" style="3" bestFit="1" customWidth="1"/>
  </cols>
  <sheetData>
    <row r="1" spans="1:15" s="4" customFormat="1" ht="51" x14ac:dyDescent="0.2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64</v>
      </c>
      <c r="O1" s="5" t="s">
        <v>65</v>
      </c>
    </row>
    <row r="2" spans="1:15" x14ac:dyDescent="0.2">
      <c r="A2">
        <v>1</v>
      </c>
      <c r="B2" s="3">
        <v>2747642.50515944</v>
      </c>
      <c r="C2" s="3">
        <v>32807166219.147499</v>
      </c>
      <c r="D2" s="3">
        <v>29276373226.599098</v>
      </c>
      <c r="E2" s="3">
        <v>12730887016.797501</v>
      </c>
      <c r="F2" s="3">
        <v>16287403643.337299</v>
      </c>
      <c r="G2" s="3">
        <v>29018290660.1348</v>
      </c>
      <c r="H2" s="2">
        <v>43.871939825480901</v>
      </c>
      <c r="I2" s="2">
        <v>56.128060174519</v>
      </c>
      <c r="J2" s="2">
        <v>38.805201679891702</v>
      </c>
      <c r="K2" s="2">
        <v>49.645871681021198</v>
      </c>
      <c r="L2" s="2">
        <v>43.485191687715101</v>
      </c>
      <c r="M2" s="2">
        <v>55.633269590030203</v>
      </c>
      <c r="N2" s="2">
        <v>4.5101528767221497</v>
      </c>
      <c r="O2" s="2">
        <v>5.5347405121886402</v>
      </c>
    </row>
    <row r="3" spans="1:15" x14ac:dyDescent="0.2">
      <c r="A3">
        <v>2</v>
      </c>
      <c r="B3" s="3">
        <v>2748295.6540946802</v>
      </c>
      <c r="C3" s="3">
        <v>41822410674.936996</v>
      </c>
      <c r="D3" s="3">
        <v>35426039310.566101</v>
      </c>
      <c r="E3" s="3">
        <v>16171881744.9347</v>
      </c>
      <c r="F3" s="3">
        <v>18893257154.780602</v>
      </c>
      <c r="G3" s="3">
        <v>35065138899.715302</v>
      </c>
      <c r="H3" s="2">
        <v>46.119542806277003</v>
      </c>
      <c r="I3" s="2">
        <v>53.880457193722897</v>
      </c>
      <c r="J3" s="2">
        <v>38.667980835992402</v>
      </c>
      <c r="K3" s="2">
        <v>45.174959668460197</v>
      </c>
      <c r="L3" s="2">
        <v>45.649703042336199</v>
      </c>
      <c r="M3" s="2">
        <v>53.331553632487299</v>
      </c>
      <c r="N3" s="2">
        <v>5.7291890877431797</v>
      </c>
      <c r="O3" s="2">
        <v>6.4202544537869501</v>
      </c>
    </row>
    <row r="4" spans="1:15" x14ac:dyDescent="0.2">
      <c r="A4">
        <v>3</v>
      </c>
      <c r="B4" s="3">
        <v>2747874.69444041</v>
      </c>
      <c r="C4" s="3">
        <v>47728594014.963997</v>
      </c>
      <c r="D4" s="3">
        <v>39497871055.729301</v>
      </c>
      <c r="E4" s="3">
        <v>18492395560.589802</v>
      </c>
      <c r="F4" s="3">
        <v>20558976669.909401</v>
      </c>
      <c r="G4" s="3">
        <v>39051372230.499298</v>
      </c>
      <c r="H4" s="2">
        <v>47.354022418057802</v>
      </c>
      <c r="I4" s="2">
        <v>52.645977581942098</v>
      </c>
      <c r="J4" s="2">
        <v>38.744899032207101</v>
      </c>
      <c r="K4" s="2">
        <v>43.074758630986999</v>
      </c>
      <c r="L4" s="2">
        <v>46.8187146960353</v>
      </c>
      <c r="M4" s="2">
        <v>52.050847603664103</v>
      </c>
      <c r="N4" s="2">
        <v>6.5512741512066697</v>
      </c>
      <c r="O4" s="2">
        <v>6.9862946578742502</v>
      </c>
    </row>
    <row r="5" spans="1:15" x14ac:dyDescent="0.2">
      <c r="A5">
        <v>4</v>
      </c>
      <c r="B5" s="3">
        <v>2747979.4784429399</v>
      </c>
      <c r="C5" s="3">
        <v>55228987672.520798</v>
      </c>
      <c r="D5" s="3">
        <v>44792749154.822098</v>
      </c>
      <c r="E5" s="3">
        <v>21174220742.446899</v>
      </c>
      <c r="F5" s="3">
        <v>23060388456.8377</v>
      </c>
      <c r="G5" s="3">
        <v>44234609199.284698</v>
      </c>
      <c r="H5" s="2">
        <v>47.867995503370103</v>
      </c>
      <c r="I5" s="2">
        <v>52.132004496629797</v>
      </c>
      <c r="J5" s="2">
        <v>38.338962263800802</v>
      </c>
      <c r="K5" s="2">
        <v>41.754139318239503</v>
      </c>
      <c r="L5" s="2">
        <v>47.271536447249801</v>
      </c>
      <c r="M5" s="2">
        <v>51.4824137655215</v>
      </c>
      <c r="N5" s="2">
        <v>7.5013604682763004</v>
      </c>
      <c r="O5" s="2">
        <v>7.8363175011677102</v>
      </c>
    </row>
    <row r="6" spans="1:15" x14ac:dyDescent="0.2">
      <c r="A6">
        <v>5</v>
      </c>
      <c r="B6" s="3">
        <v>2747628.8515828899</v>
      </c>
      <c r="C6" s="3">
        <v>62300009849.796898</v>
      </c>
      <c r="D6" s="3">
        <v>49501029635.587097</v>
      </c>
      <c r="E6" s="3">
        <v>23802239836.017101</v>
      </c>
      <c r="F6" s="3">
        <v>25029174922.970699</v>
      </c>
      <c r="G6" s="3">
        <v>48831414758.9879</v>
      </c>
      <c r="H6" s="2">
        <v>48.743703113037597</v>
      </c>
      <c r="I6" s="2">
        <v>51.256296886962197</v>
      </c>
      <c r="J6" s="2">
        <v>38.205836392969204</v>
      </c>
      <c r="K6" s="2">
        <v>40.175234295010902</v>
      </c>
      <c r="L6" s="2">
        <v>48.084332813362899</v>
      </c>
      <c r="M6" s="2">
        <v>50.5629379979136</v>
      </c>
      <c r="N6" s="2">
        <v>8.43238498049665</v>
      </c>
      <c r="O6" s="2">
        <v>8.5053450793239804</v>
      </c>
    </row>
    <row r="7" spans="1:15" x14ac:dyDescent="0.2">
      <c r="A7">
        <v>6</v>
      </c>
      <c r="B7" s="3">
        <v>2748336.9317767601</v>
      </c>
      <c r="C7" s="3">
        <v>70697712578.309692</v>
      </c>
      <c r="D7" s="3">
        <v>54853430904.834999</v>
      </c>
      <c r="E7" s="3">
        <v>26514380477.310398</v>
      </c>
      <c r="F7" s="3">
        <v>27502940702.588501</v>
      </c>
      <c r="G7" s="3">
        <v>54017321179.898903</v>
      </c>
      <c r="H7" s="2">
        <v>49.084959968686903</v>
      </c>
      <c r="I7" s="2">
        <v>50.915040031313097</v>
      </c>
      <c r="J7" s="2">
        <v>37.503873195248303</v>
      </c>
      <c r="K7" s="2">
        <v>38.902164864420897</v>
      </c>
      <c r="L7" s="2">
        <v>48.336776824972098</v>
      </c>
      <c r="M7" s="2">
        <v>50.138961681910502</v>
      </c>
      <c r="N7" s="2">
        <v>9.39321111140681</v>
      </c>
      <c r="O7" s="2">
        <v>9.3459733327851708</v>
      </c>
    </row>
    <row r="8" spans="1:15" x14ac:dyDescent="0.2">
      <c r="A8">
        <v>7</v>
      </c>
      <c r="B8" s="3">
        <v>2747846.3569293302</v>
      </c>
      <c r="C8" s="3">
        <v>80541995781.497406</v>
      </c>
      <c r="D8" s="3">
        <v>60962714759.237099</v>
      </c>
      <c r="E8" s="3">
        <v>29742875498.603001</v>
      </c>
      <c r="F8" s="3">
        <v>30134718319.903301</v>
      </c>
      <c r="G8" s="3">
        <v>59877593818.506302</v>
      </c>
      <c r="H8" s="2">
        <v>49.672796787319001</v>
      </c>
      <c r="I8" s="2">
        <v>50.327203212680899</v>
      </c>
      <c r="J8" s="2">
        <v>36.928406367396803</v>
      </c>
      <c r="K8" s="2">
        <v>37.414913831606398</v>
      </c>
      <c r="L8" s="2">
        <v>48.788633537840099</v>
      </c>
      <c r="M8" s="2">
        <v>49.431391693949003</v>
      </c>
      <c r="N8" s="2">
        <v>10.5369653595243</v>
      </c>
      <c r="O8" s="2">
        <v>10.240296732425501</v>
      </c>
    </row>
    <row r="9" spans="1:15" x14ac:dyDescent="0.2">
      <c r="A9">
        <v>8</v>
      </c>
      <c r="B9" s="3">
        <v>2747984.4327531499</v>
      </c>
      <c r="C9" s="3">
        <v>95316514865.332199</v>
      </c>
      <c r="D9" s="3">
        <v>69592985603.748001</v>
      </c>
      <c r="E9" s="3">
        <v>33989743428.753101</v>
      </c>
      <c r="F9" s="3">
        <v>34113196809.400902</v>
      </c>
      <c r="G9" s="3">
        <v>68102940238.154099</v>
      </c>
      <c r="H9" s="2">
        <v>49.909362664654402</v>
      </c>
      <c r="I9" s="2">
        <v>50.090637335345598</v>
      </c>
      <c r="J9" s="2">
        <v>35.659868047814697</v>
      </c>
      <c r="K9" s="2">
        <v>35.789387450430397</v>
      </c>
      <c r="L9" s="2">
        <v>48.8407605075109</v>
      </c>
      <c r="M9" s="2">
        <v>49.018153932403898</v>
      </c>
      <c r="N9" s="2">
        <v>12.041497100867399</v>
      </c>
      <c r="O9" s="2">
        <v>11.5922523021949</v>
      </c>
    </row>
    <row r="10" spans="1:15" x14ac:dyDescent="0.2">
      <c r="A10">
        <v>9</v>
      </c>
      <c r="B10" s="3">
        <v>2748042.5822946099</v>
      </c>
      <c r="C10" s="3">
        <v>117372854152.933</v>
      </c>
      <c r="D10" s="3">
        <v>82061193028.969299</v>
      </c>
      <c r="E10" s="3">
        <v>40088129768.291</v>
      </c>
      <c r="F10" s="3">
        <v>39657623068.682297</v>
      </c>
      <c r="G10" s="3">
        <v>79745752836.973297</v>
      </c>
      <c r="H10" s="2">
        <v>50.269924531585197</v>
      </c>
      <c r="I10" s="2">
        <v>49.730075468414697</v>
      </c>
      <c r="J10" s="2">
        <v>34.154515588465898</v>
      </c>
      <c r="K10" s="2">
        <v>33.7877300120943</v>
      </c>
      <c r="L10" s="2">
        <v>48.851507379546597</v>
      </c>
      <c r="M10" s="2">
        <v>48.326890707867697</v>
      </c>
      <c r="N10" s="2">
        <v>14.2019635833945</v>
      </c>
      <c r="O10" s="2">
        <v>13.4763439171676</v>
      </c>
    </row>
    <row r="11" spans="1:15" x14ac:dyDescent="0.2">
      <c r="A11">
        <v>10</v>
      </c>
      <c r="B11" s="3">
        <v>2748063.5193039002</v>
      </c>
      <c r="C11" s="3">
        <v>205068163103.01001</v>
      </c>
      <c r="D11" s="3">
        <v>124958992792.82401</v>
      </c>
      <c r="E11" s="3">
        <v>59564986259.146202</v>
      </c>
      <c r="F11" s="3">
        <v>59038151385.299301</v>
      </c>
      <c r="G11" s="3">
        <v>118603137644.44501</v>
      </c>
      <c r="H11" s="2">
        <v>50.222099888885801</v>
      </c>
      <c r="I11" s="2">
        <v>49.7779001111141</v>
      </c>
      <c r="J11" s="2">
        <v>29.046432833762299</v>
      </c>
      <c r="K11" s="2">
        <v>28.7895256347729</v>
      </c>
      <c r="L11" s="2">
        <v>47.667626737278198</v>
      </c>
      <c r="M11" s="2">
        <v>47.246020527055002</v>
      </c>
      <c r="N11" s="2">
        <v>21.102001280361801</v>
      </c>
      <c r="O11" s="2">
        <v>20.0621815110851</v>
      </c>
    </row>
    <row r="12" spans="1:15" x14ac:dyDescent="0.2">
      <c r="N12" s="3">
        <f>SUM(N2:N11)</f>
        <v>99.999999999999773</v>
      </c>
      <c r="O12" s="3">
        <f>SUM(O2:O11)</f>
        <v>99.999999999999787</v>
      </c>
    </row>
  </sheetData>
  <conditionalFormatting sqref="N2:N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C754D-7372-CC4E-BD4E-7F3298F29258}">
  <dimension ref="A1:Q23"/>
  <sheetViews>
    <sheetView zoomScale="120" zoomScaleNormal="120" workbookViewId="0">
      <selection activeCell="A23" sqref="A23"/>
    </sheetView>
  </sheetViews>
  <sheetFormatPr baseColWidth="10" defaultRowHeight="16" x14ac:dyDescent="0.2"/>
  <cols>
    <col min="2" max="2" width="13" bestFit="1" customWidth="1"/>
    <col min="3" max="3" width="17.6640625" bestFit="1" customWidth="1"/>
    <col min="4" max="4" width="15" bestFit="1" customWidth="1"/>
    <col min="5" max="5" width="16.6640625" bestFit="1" customWidth="1"/>
    <col min="6" max="6" width="17.6640625" bestFit="1" customWidth="1"/>
    <col min="7" max="8" width="16.6640625" bestFit="1" customWidth="1"/>
    <col min="9" max="9" width="17.6640625" bestFit="1" customWidth="1"/>
    <col min="10" max="16" width="16.6640625" bestFit="1" customWidth="1"/>
    <col min="17" max="17" width="18.6640625" bestFit="1" customWidth="1"/>
    <col min="18" max="31" width="11" bestFit="1" customWidth="1"/>
  </cols>
  <sheetData>
    <row r="1" spans="1:17" x14ac:dyDescent="0.2">
      <c r="A1" t="s">
        <v>0</v>
      </c>
      <c r="B1" t="s">
        <v>1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6</v>
      </c>
    </row>
    <row r="2" spans="1:17" x14ac:dyDescent="0.2">
      <c r="A2">
        <v>1</v>
      </c>
      <c r="B2" s="3">
        <v>2747642.50515944</v>
      </c>
      <c r="C2" s="3">
        <v>15990838401.663799</v>
      </c>
      <c r="D2" s="3">
        <v>532822247.77749002</v>
      </c>
      <c r="E2" s="3">
        <v>564853994.856848</v>
      </c>
      <c r="F2" s="3">
        <v>4851582289.2920704</v>
      </c>
      <c r="G2" s="3">
        <v>730437484.37439799</v>
      </c>
      <c r="H2" s="3">
        <v>408542791.85708499</v>
      </c>
      <c r="I2" s="3">
        <v>1647689285.14065</v>
      </c>
      <c r="J2" s="3">
        <v>570623163.44423401</v>
      </c>
      <c r="K2" s="3">
        <v>234558957.221908</v>
      </c>
      <c r="L2" s="3">
        <v>778563951.59147406</v>
      </c>
      <c r="M2" s="3">
        <v>874077739.09213305</v>
      </c>
      <c r="N2" s="3">
        <v>118238780.85100999</v>
      </c>
      <c r="O2" s="3">
        <v>1275190823.7764201</v>
      </c>
      <c r="P2" s="3">
        <v>440270749.19526398</v>
      </c>
      <c r="Q2" s="3">
        <v>29018290660.1348</v>
      </c>
    </row>
    <row r="3" spans="1:17" x14ac:dyDescent="0.2">
      <c r="A3">
        <v>2</v>
      </c>
      <c r="B3" s="3">
        <v>2748295.6540946802</v>
      </c>
      <c r="C3" s="3">
        <v>17716769683.024899</v>
      </c>
      <c r="D3" s="3">
        <v>679454265.27848995</v>
      </c>
      <c r="E3" s="3">
        <v>654181871.97005904</v>
      </c>
      <c r="F3" s="3">
        <v>6506024243.4251699</v>
      </c>
      <c r="G3" s="3">
        <v>881410870.81025696</v>
      </c>
      <c r="H3" s="3">
        <v>588463889.93382394</v>
      </c>
      <c r="I3" s="3">
        <v>2209567133.0144501</v>
      </c>
      <c r="J3" s="3">
        <v>881329606.77100205</v>
      </c>
      <c r="K3" s="3">
        <v>261434219.26473999</v>
      </c>
      <c r="L3" s="3">
        <v>988601374.00612104</v>
      </c>
      <c r="M3" s="3">
        <v>1383777550.8020301</v>
      </c>
      <c r="N3" s="3">
        <v>261001773.656665</v>
      </c>
      <c r="O3" s="3">
        <v>1481422342.8584399</v>
      </c>
      <c r="P3" s="3">
        <v>571700074.899122</v>
      </c>
      <c r="Q3" s="3">
        <v>35065138899.715302</v>
      </c>
    </row>
    <row r="4" spans="1:17" x14ac:dyDescent="0.2">
      <c r="A4">
        <v>3</v>
      </c>
      <c r="B4" s="3">
        <v>2747874.69444041</v>
      </c>
      <c r="C4" s="3">
        <v>18475048280.205399</v>
      </c>
      <c r="D4" s="3">
        <v>723181191.12306404</v>
      </c>
      <c r="E4" s="3">
        <v>696214900.67047298</v>
      </c>
      <c r="F4" s="3">
        <v>7845053068.3553104</v>
      </c>
      <c r="G4" s="3">
        <v>974659334.59175599</v>
      </c>
      <c r="H4" s="3">
        <v>703343414.58053601</v>
      </c>
      <c r="I4" s="3">
        <v>2648397049.2077498</v>
      </c>
      <c r="J4" s="3">
        <v>1136884432.5229299</v>
      </c>
      <c r="K4" s="3">
        <v>264581837.98253599</v>
      </c>
      <c r="L4" s="3">
        <v>1068174669.81612</v>
      </c>
      <c r="M4" s="3">
        <v>1842159837.16152</v>
      </c>
      <c r="N4" s="3">
        <v>388142803.27591199</v>
      </c>
      <c r="O4" s="3">
        <v>1602883322.36692</v>
      </c>
      <c r="P4" s="3">
        <v>682648088.63905203</v>
      </c>
      <c r="Q4" s="3">
        <v>39051372230.499298</v>
      </c>
    </row>
    <row r="5" spans="1:17" x14ac:dyDescent="0.2">
      <c r="A5">
        <v>4</v>
      </c>
      <c r="B5" s="3">
        <v>2747979.4784429399</v>
      </c>
      <c r="C5" s="3">
        <v>19578006372.944302</v>
      </c>
      <c r="D5" s="3">
        <v>829365937.75525296</v>
      </c>
      <c r="E5" s="3">
        <v>770862790.78202701</v>
      </c>
      <c r="F5" s="3">
        <v>9407953174.9176998</v>
      </c>
      <c r="G5" s="3">
        <v>1113292305.38515</v>
      </c>
      <c r="H5" s="3">
        <v>933054622.611678</v>
      </c>
      <c r="I5" s="3">
        <v>3056504343.7639899</v>
      </c>
      <c r="J5" s="3">
        <v>1517334535.48276</v>
      </c>
      <c r="K5" s="3">
        <v>292882708.84662002</v>
      </c>
      <c r="L5" s="3">
        <v>1248776335.51882</v>
      </c>
      <c r="M5" s="3">
        <v>2308756955.5985999</v>
      </c>
      <c r="N5" s="3">
        <v>607037385.94030905</v>
      </c>
      <c r="O5" s="3">
        <v>1785484458.45786</v>
      </c>
      <c r="P5" s="3">
        <v>785297271.27958596</v>
      </c>
      <c r="Q5" s="3">
        <v>44234609199.284698</v>
      </c>
    </row>
    <row r="6" spans="1:17" x14ac:dyDescent="0.2">
      <c r="A6">
        <v>5</v>
      </c>
      <c r="B6" s="3">
        <v>2747628.8515828899</v>
      </c>
      <c r="C6" s="3">
        <v>20466134261.536098</v>
      </c>
      <c r="D6" s="3">
        <v>892867580.11971104</v>
      </c>
      <c r="E6" s="3">
        <v>839266737.99279499</v>
      </c>
      <c r="F6" s="3">
        <v>10839035353.411699</v>
      </c>
      <c r="G6" s="3">
        <v>1238236380.6538501</v>
      </c>
      <c r="H6" s="3">
        <v>1154659765.21594</v>
      </c>
      <c r="I6" s="3">
        <v>3427165351.26724</v>
      </c>
      <c r="J6" s="3">
        <v>1841722620.6008601</v>
      </c>
      <c r="K6" s="3">
        <v>309018805.18247998</v>
      </c>
      <c r="L6" s="3">
        <v>1344649789.3245201</v>
      </c>
      <c r="M6" s="3">
        <v>2854817394.7291899</v>
      </c>
      <c r="N6" s="3">
        <v>799621768.24454403</v>
      </c>
      <c r="O6" s="3">
        <v>1924382296.1743701</v>
      </c>
      <c r="P6" s="3">
        <v>899836654.53443599</v>
      </c>
      <c r="Q6" s="3">
        <v>48831414758.9879</v>
      </c>
    </row>
    <row r="7" spans="1:17" x14ac:dyDescent="0.2">
      <c r="A7">
        <v>6</v>
      </c>
      <c r="B7" s="3">
        <v>2748336.9317767601</v>
      </c>
      <c r="C7" s="3">
        <v>21288671532.338501</v>
      </c>
      <c r="D7" s="3">
        <v>952376828.95229197</v>
      </c>
      <c r="E7" s="3">
        <v>954257755.01019704</v>
      </c>
      <c r="F7" s="3">
        <v>12431566734.7589</v>
      </c>
      <c r="G7" s="3">
        <v>1416127970.1519301</v>
      </c>
      <c r="H7" s="3">
        <v>1364728389.6819501</v>
      </c>
      <c r="I7" s="3">
        <v>3896540174.16153</v>
      </c>
      <c r="J7" s="3">
        <v>2239749522.5671401</v>
      </c>
      <c r="K7" s="3">
        <v>358339276.30989099</v>
      </c>
      <c r="L7" s="3">
        <v>1598980743.74229</v>
      </c>
      <c r="M7" s="3">
        <v>3289534267.8063202</v>
      </c>
      <c r="N7" s="3">
        <v>1124120003.5225101</v>
      </c>
      <c r="O7" s="3">
        <v>2082554866.2391</v>
      </c>
      <c r="P7" s="3">
        <v>1019773114.65628</v>
      </c>
      <c r="Q7" s="3">
        <v>54017321179.898903</v>
      </c>
    </row>
    <row r="8" spans="1:17" x14ac:dyDescent="0.2">
      <c r="A8">
        <v>7</v>
      </c>
      <c r="B8" s="3">
        <v>2747846.3569293302</v>
      </c>
      <c r="C8" s="3">
        <v>22061555504.912998</v>
      </c>
      <c r="D8" s="3">
        <v>955642604.01410604</v>
      </c>
      <c r="E8" s="3">
        <v>1084593772.8963301</v>
      </c>
      <c r="F8" s="3">
        <v>14147127100.0219</v>
      </c>
      <c r="G8" s="3">
        <v>1576895228.88552</v>
      </c>
      <c r="H8" s="3">
        <v>1723416462.28618</v>
      </c>
      <c r="I8" s="3">
        <v>4459609552.2406502</v>
      </c>
      <c r="J8" s="3">
        <v>2704844016.0393701</v>
      </c>
      <c r="K8" s="3">
        <v>404942361.482301</v>
      </c>
      <c r="L8" s="3">
        <v>1802389365.0468299</v>
      </c>
      <c r="M8" s="3">
        <v>3991236985.9844298</v>
      </c>
      <c r="N8" s="3">
        <v>1518015823.19626</v>
      </c>
      <c r="O8" s="3">
        <v>2283985215.8801999</v>
      </c>
      <c r="P8" s="3">
        <v>1163339825.6192</v>
      </c>
      <c r="Q8" s="3">
        <v>59877593818.506302</v>
      </c>
    </row>
    <row r="9" spans="1:17" x14ac:dyDescent="0.2">
      <c r="A9">
        <v>8</v>
      </c>
      <c r="B9" s="3">
        <v>2747984.4327531499</v>
      </c>
      <c r="C9" s="3">
        <v>23144044156.0439</v>
      </c>
      <c r="D9" s="3">
        <v>987873604.83120298</v>
      </c>
      <c r="E9" s="3">
        <v>1304178565.0866201</v>
      </c>
      <c r="F9" s="3">
        <v>16484645032.1364</v>
      </c>
      <c r="G9" s="3">
        <v>1920950368.44997</v>
      </c>
      <c r="H9" s="3">
        <v>2283824261.0636702</v>
      </c>
      <c r="I9" s="3">
        <v>5304285285.1653099</v>
      </c>
      <c r="J9" s="3">
        <v>3291017537.119</v>
      </c>
      <c r="K9" s="3">
        <v>524495019.25161099</v>
      </c>
      <c r="L9" s="3">
        <v>2390241066.2751498</v>
      </c>
      <c r="M9" s="3">
        <v>4459481035.3073797</v>
      </c>
      <c r="N9" s="3">
        <v>2107405267.0736499</v>
      </c>
      <c r="O9" s="3">
        <v>2527592419.6882601</v>
      </c>
      <c r="P9" s="3">
        <v>1372906620.66185</v>
      </c>
      <c r="Q9" s="3">
        <v>68102940238.154099</v>
      </c>
    </row>
    <row r="10" spans="1:17" x14ac:dyDescent="0.2">
      <c r="A10">
        <v>9</v>
      </c>
      <c r="B10" s="3">
        <v>2748042.5822946099</v>
      </c>
      <c r="C10" s="3">
        <v>23895637572.135101</v>
      </c>
      <c r="D10" s="3">
        <v>904561552.32073104</v>
      </c>
      <c r="E10" s="3">
        <v>1651759197.7995801</v>
      </c>
      <c r="F10" s="3">
        <v>20405076993.781898</v>
      </c>
      <c r="G10" s="3">
        <v>2533328518.5107498</v>
      </c>
      <c r="H10" s="3">
        <v>2931918886.9404502</v>
      </c>
      <c r="I10" s="3">
        <v>6580995077.4231396</v>
      </c>
      <c r="J10" s="3">
        <v>4077347721.0027099</v>
      </c>
      <c r="K10" s="3">
        <v>708425955.34514701</v>
      </c>
      <c r="L10" s="3">
        <v>3054459709.5757599</v>
      </c>
      <c r="M10" s="3">
        <v>5242842451.9049301</v>
      </c>
      <c r="N10" s="3">
        <v>3159787854.8935199</v>
      </c>
      <c r="O10" s="3">
        <v>2883414936.42381</v>
      </c>
      <c r="P10" s="3">
        <v>1716196408.91571</v>
      </c>
      <c r="Q10" s="3">
        <v>79745752836.973297</v>
      </c>
    </row>
    <row r="11" spans="1:17" x14ac:dyDescent="0.2">
      <c r="A11">
        <v>10</v>
      </c>
      <c r="B11" s="3">
        <v>2748063.5193039002</v>
      </c>
      <c r="C11" s="3">
        <v>26275826963.716499</v>
      </c>
      <c r="D11" s="3">
        <v>907616032.75166202</v>
      </c>
      <c r="E11" s="3">
        <v>2882140572.39182</v>
      </c>
      <c r="F11" s="3">
        <v>32656467970.806801</v>
      </c>
      <c r="G11" s="3">
        <v>5886209261.9639597</v>
      </c>
      <c r="H11" s="3">
        <v>5379905142.2717104</v>
      </c>
      <c r="I11" s="3">
        <v>11671019419.1194</v>
      </c>
      <c r="J11" s="3">
        <v>5904474902.4546003</v>
      </c>
      <c r="K11" s="3">
        <v>1697326386.02214</v>
      </c>
      <c r="L11" s="3">
        <v>5230961336.7513905</v>
      </c>
      <c r="M11" s="3">
        <v>7236301059.3639202</v>
      </c>
      <c r="N11" s="3">
        <v>6057604311.0866299</v>
      </c>
      <c r="O11" s="3">
        <v>4011181538.6979299</v>
      </c>
      <c r="P11" s="3">
        <v>2806102747.0468998</v>
      </c>
      <c r="Q11" s="3">
        <v>118603137644.44501</v>
      </c>
    </row>
    <row r="13" spans="1:17" x14ac:dyDescent="0.2">
      <c r="A13" t="s">
        <v>0</v>
      </c>
      <c r="B13" t="s">
        <v>1</v>
      </c>
      <c r="C13" t="s">
        <v>84</v>
      </c>
      <c r="D13" t="s">
        <v>85</v>
      </c>
      <c r="E13" t="s">
        <v>86</v>
      </c>
      <c r="F13" t="s">
        <v>87</v>
      </c>
      <c r="G13" t="s">
        <v>88</v>
      </c>
      <c r="H13" t="s">
        <v>89</v>
      </c>
      <c r="I13" t="s">
        <v>90</v>
      </c>
      <c r="J13" t="s">
        <v>91</v>
      </c>
      <c r="K13" t="s">
        <v>92</v>
      </c>
      <c r="L13" t="s">
        <v>93</v>
      </c>
      <c r="M13" t="s">
        <v>94</v>
      </c>
      <c r="N13" t="s">
        <v>95</v>
      </c>
      <c r="O13" t="s">
        <v>96</v>
      </c>
      <c r="P13" t="s">
        <v>97</v>
      </c>
    </row>
    <row r="14" spans="1:17" x14ac:dyDescent="0.2">
      <c r="A14">
        <v>1</v>
      </c>
      <c r="B14" s="3">
        <v>2747642.50515944</v>
      </c>
      <c r="C14" s="2">
        <v>55.106065994548601</v>
      </c>
      <c r="D14" s="2">
        <v>1.8361600068658599</v>
      </c>
      <c r="E14" s="2">
        <v>1.9465446861514799</v>
      </c>
      <c r="F14" s="2">
        <v>16.719049189059</v>
      </c>
      <c r="G14" s="2">
        <v>2.5171623405711698</v>
      </c>
      <c r="H14" s="2">
        <v>1.4078802802066399</v>
      </c>
      <c r="I14" s="2">
        <v>5.6781059382117203</v>
      </c>
      <c r="J14" s="2">
        <v>1.9664258316502099</v>
      </c>
      <c r="K14" s="2">
        <v>0.808314176631169</v>
      </c>
      <c r="L14" s="2">
        <v>2.6830110729473802</v>
      </c>
      <c r="M14" s="2">
        <v>3.0121613617060299</v>
      </c>
      <c r="N14" s="2">
        <v>0.40746294203140498</v>
      </c>
      <c r="O14" s="2">
        <v>4.3944381104717198</v>
      </c>
      <c r="P14" s="2">
        <v>1.5172180689474699</v>
      </c>
    </row>
    <row r="15" spans="1:17" x14ac:dyDescent="0.2">
      <c r="A15">
        <v>2</v>
      </c>
      <c r="B15" s="3">
        <v>2748295.6540946802</v>
      </c>
      <c r="C15" s="2">
        <v>50.525308722415403</v>
      </c>
      <c r="D15" s="2">
        <v>1.9376916407537901</v>
      </c>
      <c r="E15" s="2">
        <v>1.8656189380597801</v>
      </c>
      <c r="F15" s="2">
        <v>18.5541094305432</v>
      </c>
      <c r="G15" s="2">
        <v>2.5136386122155399</v>
      </c>
      <c r="H15" s="2">
        <v>1.6782020787563501</v>
      </c>
      <c r="I15" s="2">
        <v>6.3013214900808299</v>
      </c>
      <c r="J15" s="2">
        <v>2.51340686056189</v>
      </c>
      <c r="K15" s="2">
        <v>0.74556732831553696</v>
      </c>
      <c r="L15" s="2">
        <v>2.8193282702614502</v>
      </c>
      <c r="M15" s="2">
        <v>3.9463056306708699</v>
      </c>
      <c r="N15" s="2">
        <v>0.74433406467636698</v>
      </c>
      <c r="O15" s="2">
        <v>4.2247724929744201</v>
      </c>
      <c r="P15" s="2">
        <v>1.6303944397144901</v>
      </c>
    </row>
    <row r="16" spans="1:17" x14ac:dyDescent="0.2">
      <c r="A16">
        <v>3</v>
      </c>
      <c r="B16" s="3">
        <v>2747874.69444041</v>
      </c>
      <c r="C16" s="2">
        <v>47.309600725826201</v>
      </c>
      <c r="D16" s="2">
        <v>1.85187139354415</v>
      </c>
      <c r="E16" s="2">
        <v>1.7828180186885301</v>
      </c>
      <c r="F16" s="2">
        <v>20.089058643189698</v>
      </c>
      <c r="G16" s="2">
        <v>2.4958388884233398</v>
      </c>
      <c r="H16" s="2">
        <v>1.80107221438744</v>
      </c>
      <c r="I16" s="2">
        <v>6.78182839152407</v>
      </c>
      <c r="J16" s="2">
        <v>2.9112534786550199</v>
      </c>
      <c r="K16" s="2">
        <v>0.67752251168243605</v>
      </c>
      <c r="L16" s="2">
        <v>2.7353063639127799</v>
      </c>
      <c r="M16" s="2">
        <v>4.7172729969339899</v>
      </c>
      <c r="N16" s="2">
        <v>0.993928717753919</v>
      </c>
      <c r="O16" s="2">
        <v>4.1045505722717301</v>
      </c>
      <c r="P16" s="2">
        <v>1.74807708320656</v>
      </c>
    </row>
    <row r="17" spans="1:16" x14ac:dyDescent="0.2">
      <c r="A17">
        <v>4</v>
      </c>
      <c r="B17" s="3">
        <v>2747979.4784429399</v>
      </c>
      <c r="C17" s="2">
        <v>44.259476295454398</v>
      </c>
      <c r="D17" s="2">
        <v>1.87492543229852</v>
      </c>
      <c r="E17" s="2">
        <v>1.7426689299076901</v>
      </c>
      <c r="F17" s="2">
        <v>21.268308560234399</v>
      </c>
      <c r="G17" s="2">
        <v>2.5167901910686701</v>
      </c>
      <c r="H17" s="2">
        <v>2.1093316737763002</v>
      </c>
      <c r="I17" s="2">
        <v>6.9097577645456303</v>
      </c>
      <c r="J17" s="2">
        <v>3.4301976731543</v>
      </c>
      <c r="K17" s="2">
        <v>0.66211212023402799</v>
      </c>
      <c r="L17" s="2">
        <v>2.8230753207129502</v>
      </c>
      <c r="M17" s="2">
        <v>5.2193452081768097</v>
      </c>
      <c r="N17" s="2">
        <v>1.37231321114537</v>
      </c>
      <c r="O17" s="2">
        <v>4.0363970447075497</v>
      </c>
      <c r="P17" s="2">
        <v>1.7753005745833099</v>
      </c>
    </row>
    <row r="18" spans="1:16" x14ac:dyDescent="0.2">
      <c r="A18">
        <v>5</v>
      </c>
      <c r="B18" s="3">
        <v>2747628.8515828899</v>
      </c>
      <c r="C18" s="2">
        <v>41.911819189652199</v>
      </c>
      <c r="D18" s="2">
        <v>1.8284696122906601</v>
      </c>
      <c r="E18" s="2">
        <v>1.7187024830942801</v>
      </c>
      <c r="F18" s="2">
        <v>22.196848907427398</v>
      </c>
      <c r="G18" s="2">
        <v>2.5357372641470399</v>
      </c>
      <c r="H18" s="2">
        <v>2.36458388706302</v>
      </c>
      <c r="I18" s="2">
        <v>7.0183617824352202</v>
      </c>
      <c r="J18" s="2">
        <v>3.7715938186326499</v>
      </c>
      <c r="K18" s="2">
        <v>0.63282787670124097</v>
      </c>
      <c r="L18" s="2">
        <v>2.7536572429063702</v>
      </c>
      <c r="M18" s="2">
        <v>5.8462721361226304</v>
      </c>
      <c r="N18" s="2">
        <v>1.6375150549930799</v>
      </c>
      <c r="O18" s="2">
        <v>3.9408694293875102</v>
      </c>
      <c r="P18" s="2">
        <v>1.8427413151465399</v>
      </c>
    </row>
    <row r="19" spans="1:16" x14ac:dyDescent="0.2">
      <c r="A19">
        <v>6</v>
      </c>
      <c r="B19" s="3">
        <v>2748336.9317767601</v>
      </c>
      <c r="C19" s="2">
        <v>39.410824282527599</v>
      </c>
      <c r="D19" s="2">
        <v>1.76309525935301</v>
      </c>
      <c r="E19" s="2">
        <v>1.76657733883571</v>
      </c>
      <c r="F19" s="2">
        <v>23.014037836783601</v>
      </c>
      <c r="G19" s="2">
        <v>2.6216182869114601</v>
      </c>
      <c r="H19" s="2">
        <v>2.5264644004408701</v>
      </c>
      <c r="I19" s="2">
        <v>7.2135013159658898</v>
      </c>
      <c r="J19" s="2">
        <v>4.1463543057011103</v>
      </c>
      <c r="K19" s="2">
        <v>0.66337846543052503</v>
      </c>
      <c r="L19" s="2">
        <v>2.9601259537048401</v>
      </c>
      <c r="M19" s="2">
        <v>6.0897767529990601</v>
      </c>
      <c r="N19" s="2">
        <v>2.0810361916666502</v>
      </c>
      <c r="O19" s="2">
        <v>3.8553464347174402</v>
      </c>
      <c r="P19" s="2">
        <v>1.88786317496204</v>
      </c>
    </row>
    <row r="20" spans="1:16" x14ac:dyDescent="0.2">
      <c r="A20">
        <v>7</v>
      </c>
      <c r="B20" s="3">
        <v>2747846.3569293302</v>
      </c>
      <c r="C20" s="2">
        <v>36.844425598969899</v>
      </c>
      <c r="D20" s="2">
        <v>1.59599366486023</v>
      </c>
      <c r="E20" s="2">
        <v>1.8113516321043599</v>
      </c>
      <c r="F20" s="2">
        <v>23.626746163018701</v>
      </c>
      <c r="G20" s="2">
        <v>2.6335313901644302</v>
      </c>
      <c r="H20" s="2">
        <v>2.8782326616363201</v>
      </c>
      <c r="I20" s="2">
        <v>7.4478770235124596</v>
      </c>
      <c r="J20" s="2">
        <v>4.5172890952130897</v>
      </c>
      <c r="K20" s="2">
        <v>0.67628362407098896</v>
      </c>
      <c r="L20" s="2">
        <v>3.0101232365983299</v>
      </c>
      <c r="M20" s="2">
        <v>6.6656602770014102</v>
      </c>
      <c r="N20" s="2">
        <v>2.5351984379958301</v>
      </c>
      <c r="O20" s="2">
        <v>3.8144238440895601</v>
      </c>
      <c r="P20" s="2">
        <v>1.9428633507641799</v>
      </c>
    </row>
    <row r="21" spans="1:16" x14ac:dyDescent="0.2">
      <c r="A21">
        <v>8</v>
      </c>
      <c r="B21" s="3">
        <v>2747984.4327531499</v>
      </c>
      <c r="C21" s="2">
        <v>33.9839132864305</v>
      </c>
      <c r="D21" s="2">
        <v>1.4505594051837301</v>
      </c>
      <c r="E21" s="2">
        <v>1.9150106596366401</v>
      </c>
      <c r="F21" s="2">
        <v>24.205482134090101</v>
      </c>
      <c r="G21" s="2">
        <v>2.82065702557402</v>
      </c>
      <c r="H21" s="2">
        <v>3.35348848827554</v>
      </c>
      <c r="I21" s="2">
        <v>7.7886289000392104</v>
      </c>
      <c r="J21" s="2">
        <v>4.8324162299166504</v>
      </c>
      <c r="K21" s="2">
        <v>0.77015033039317604</v>
      </c>
      <c r="L21" s="2">
        <v>3.5097472413328101</v>
      </c>
      <c r="M21" s="2">
        <v>6.54814758322137</v>
      </c>
      <c r="N21" s="2">
        <v>3.0944409444057901</v>
      </c>
      <c r="O21" s="2">
        <v>3.7114292141416199</v>
      </c>
      <c r="P21" s="2">
        <v>2.01592855735867</v>
      </c>
    </row>
    <row r="22" spans="1:16" x14ac:dyDescent="0.2">
      <c r="A22">
        <v>9</v>
      </c>
      <c r="B22" s="3">
        <v>2748042.5822946099</v>
      </c>
      <c r="C22" s="2">
        <v>29.964777711718</v>
      </c>
      <c r="D22" s="2">
        <v>1.1343068691945899</v>
      </c>
      <c r="E22" s="2">
        <v>2.07128171600101</v>
      </c>
      <c r="F22" s="2">
        <v>25.587666136272599</v>
      </c>
      <c r="G22" s="2">
        <v>3.1767566652605401</v>
      </c>
      <c r="H22" s="2">
        <v>3.6765831190211</v>
      </c>
      <c r="I22" s="2">
        <v>8.2524709383292993</v>
      </c>
      <c r="J22" s="2">
        <v>5.1129340133488501</v>
      </c>
      <c r="K22" s="2">
        <v>0.88835571819530501</v>
      </c>
      <c r="L22" s="2">
        <v>3.83024750649742</v>
      </c>
      <c r="M22" s="2">
        <v>6.5744472468935502</v>
      </c>
      <c r="N22" s="2">
        <v>3.9623274500313101</v>
      </c>
      <c r="O22" s="2">
        <v>3.6157598791730798</v>
      </c>
      <c r="P22" s="2">
        <v>2.1520850300632102</v>
      </c>
    </row>
    <row r="23" spans="1:16" x14ac:dyDescent="0.2">
      <c r="A23">
        <v>10</v>
      </c>
      <c r="B23" s="3">
        <v>2748063.5193039002</v>
      </c>
      <c r="C23" s="2">
        <v>22.154411329730099</v>
      </c>
      <c r="D23" s="2">
        <v>0.76525465580224294</v>
      </c>
      <c r="E23" s="2">
        <v>2.4300711006753</v>
      </c>
      <c r="F23" s="2">
        <v>27.534236125106599</v>
      </c>
      <c r="G23" s="2">
        <v>4.9629456512440102</v>
      </c>
      <c r="H23" s="2">
        <v>4.5360563380708099</v>
      </c>
      <c r="I23" s="2">
        <v>9.8403968486124</v>
      </c>
      <c r="J23" s="2">
        <v>4.9783462897544402</v>
      </c>
      <c r="K23" s="2">
        <v>1.43109737206992</v>
      </c>
      <c r="L23" s="2">
        <v>4.41047466419736</v>
      </c>
      <c r="M23" s="2">
        <v>6.1012728694052498</v>
      </c>
      <c r="N23" s="2">
        <v>5.1074570465803504</v>
      </c>
      <c r="O23" s="2">
        <v>3.3820197495304498</v>
      </c>
      <c r="P23" s="2">
        <v>2.36595995922062</v>
      </c>
    </row>
  </sheetData>
  <conditionalFormatting sqref="C14:P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3:P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D759-C211-6A47-BA8F-FA7924675BCB}">
  <dimension ref="A1:K15"/>
  <sheetViews>
    <sheetView zoomScale="130" zoomScaleNormal="130" workbookViewId="0">
      <selection activeCell="F25" sqref="F25"/>
    </sheetView>
  </sheetViews>
  <sheetFormatPr baseColWidth="10" defaultRowHeight="16" x14ac:dyDescent="0.2"/>
  <cols>
    <col min="1" max="1" width="11.5" customWidth="1"/>
    <col min="2" max="2" width="13" style="3" bestFit="1" customWidth="1"/>
    <col min="3" max="4" width="17.6640625" style="3" bestFit="1" customWidth="1"/>
    <col min="5" max="5" width="18.6640625" style="3" bestFit="1" customWidth="1"/>
    <col min="6" max="7" width="16.6640625" style="3" bestFit="1" customWidth="1"/>
    <col min="8" max="9" width="11.83203125" style="3" customWidth="1"/>
    <col min="10" max="10" width="12.33203125" style="3" customWidth="1"/>
    <col min="11" max="11" width="13.6640625" style="3" customWidth="1"/>
  </cols>
  <sheetData>
    <row r="1" spans="1:11" s="4" customFormat="1" ht="51" x14ac:dyDescent="0.2">
      <c r="A1" s="4" t="s">
        <v>0</v>
      </c>
      <c r="B1" s="5" t="s">
        <v>1</v>
      </c>
      <c r="C1" s="5" t="s">
        <v>19</v>
      </c>
      <c r="D1" s="5" t="s">
        <v>20</v>
      </c>
      <c r="E1" s="5" t="s">
        <v>6</v>
      </c>
      <c r="F1" s="5" t="s">
        <v>21</v>
      </c>
      <c r="G1" s="5" t="s">
        <v>22</v>
      </c>
      <c r="H1" s="5" t="s">
        <v>27</v>
      </c>
      <c r="I1" s="5" t="s">
        <v>28</v>
      </c>
      <c r="J1" s="25" t="s">
        <v>42</v>
      </c>
      <c r="K1" s="5" t="s">
        <v>43</v>
      </c>
    </row>
    <row r="2" spans="1:11" x14ac:dyDescent="0.2">
      <c r="A2">
        <v>1</v>
      </c>
      <c r="B2" s="3">
        <v>2747642.50515944</v>
      </c>
      <c r="C2" s="3">
        <v>12730887016.797501</v>
      </c>
      <c r="D2" s="3">
        <v>16287403643.337299</v>
      </c>
      <c r="E2" s="3">
        <v>29018290660.1348</v>
      </c>
      <c r="F2" s="3">
        <v>1527706442.0157001</v>
      </c>
      <c r="G2" s="3">
        <v>1954488437.20047</v>
      </c>
      <c r="H2" s="1">
        <v>5.2096450668530103</v>
      </c>
      <c r="I2" s="1">
        <v>6.7903549331469799</v>
      </c>
      <c r="J2" s="22">
        <v>5.2646327790577203</v>
      </c>
      <c r="K2" s="1">
        <v>6.7353672209422699</v>
      </c>
    </row>
    <row r="3" spans="1:11" x14ac:dyDescent="0.2">
      <c r="A3">
        <v>2</v>
      </c>
      <c r="B3" s="3">
        <v>2748295.6540946802</v>
      </c>
      <c r="C3" s="3">
        <v>16171881744.9347</v>
      </c>
      <c r="D3" s="3">
        <v>18893257154.780602</v>
      </c>
      <c r="E3" s="3">
        <v>35065138899.715302</v>
      </c>
      <c r="F3" s="3">
        <v>1940625809.3921599</v>
      </c>
      <c r="G3" s="3">
        <v>2267190858.5736699</v>
      </c>
      <c r="H3" s="1">
        <v>5.45557234683627</v>
      </c>
      <c r="I3" s="1">
        <v>6.5444276531637202</v>
      </c>
      <c r="J3" s="22">
        <v>5.5343451367532399</v>
      </c>
      <c r="K3" s="1">
        <v>6.4656548632467503</v>
      </c>
    </row>
    <row r="4" spans="1:11" x14ac:dyDescent="0.2">
      <c r="A4">
        <v>3</v>
      </c>
      <c r="B4" s="3">
        <v>2747874.69444041</v>
      </c>
      <c r="C4" s="3">
        <v>18492395560.589802</v>
      </c>
      <c r="D4" s="3">
        <v>20558976669.909401</v>
      </c>
      <c r="E4" s="3">
        <v>39051372230.499298</v>
      </c>
      <c r="F4" s="3">
        <v>2219087467.2707801</v>
      </c>
      <c r="G4" s="3">
        <v>2467077200.3891301</v>
      </c>
      <c r="H4" s="1">
        <v>5.5568015023697797</v>
      </c>
      <c r="I4" s="1">
        <v>6.4431984976302097</v>
      </c>
      <c r="J4" s="22">
        <v>5.6824826901669301</v>
      </c>
      <c r="K4" s="1">
        <v>6.3175173098330504</v>
      </c>
    </row>
    <row r="5" spans="1:11" x14ac:dyDescent="0.2">
      <c r="A5">
        <v>4</v>
      </c>
      <c r="B5" s="3">
        <v>2747979.4784429399</v>
      </c>
      <c r="C5" s="3">
        <v>21174220742.446899</v>
      </c>
      <c r="D5" s="3">
        <v>23060388456.8377</v>
      </c>
      <c r="E5" s="3">
        <v>44234609199.284698</v>
      </c>
      <c r="F5" s="3">
        <v>2540906489.0936298</v>
      </c>
      <c r="G5" s="3">
        <v>2767246614.8205199</v>
      </c>
      <c r="H5" s="1">
        <v>5.6050850955508604</v>
      </c>
      <c r="I5" s="1">
        <v>6.3949149044491298</v>
      </c>
      <c r="J5" s="22">
        <v>5.7441594604044202</v>
      </c>
      <c r="K5" s="1">
        <v>6.2558405395955798</v>
      </c>
    </row>
    <row r="6" spans="1:11" x14ac:dyDescent="0.2">
      <c r="A6">
        <v>5</v>
      </c>
      <c r="B6" s="3">
        <v>2747628.8515828899</v>
      </c>
      <c r="C6" s="3">
        <v>23802239836.017101</v>
      </c>
      <c r="D6" s="3">
        <v>25029174922.970699</v>
      </c>
      <c r="E6" s="3">
        <v>48831414758.9879</v>
      </c>
      <c r="F6" s="3">
        <v>2856268780.3220501</v>
      </c>
      <c r="G6" s="3">
        <v>3003500990.7564902</v>
      </c>
      <c r="H6" s="1">
        <v>5.6657757606204502</v>
      </c>
      <c r="I6" s="1">
        <v>6.3342242393795303</v>
      </c>
      <c r="J6" s="22">
        <v>5.8492443735645203</v>
      </c>
      <c r="K6" s="1">
        <v>6.1507556264354699</v>
      </c>
    </row>
    <row r="7" spans="1:11" x14ac:dyDescent="0.2">
      <c r="A7">
        <v>6</v>
      </c>
      <c r="B7" s="3">
        <v>2748336.9317767601</v>
      </c>
      <c r="C7" s="3">
        <v>26514380477.310398</v>
      </c>
      <c r="D7" s="3">
        <v>27502940702.588501</v>
      </c>
      <c r="E7" s="3">
        <v>54017321179.898903</v>
      </c>
      <c r="F7" s="3">
        <v>3181725657.2772498</v>
      </c>
      <c r="G7" s="3">
        <v>3300352884.3106198</v>
      </c>
      <c r="H7" s="1">
        <v>5.7076454835129597</v>
      </c>
      <c r="I7" s="1">
        <v>6.2923545164870198</v>
      </c>
      <c r="J7" s="22">
        <v>5.8901951962424297</v>
      </c>
      <c r="K7" s="1">
        <v>6.1098048037575703</v>
      </c>
    </row>
    <row r="8" spans="1:11" x14ac:dyDescent="0.2">
      <c r="A8">
        <v>7</v>
      </c>
      <c r="B8" s="3">
        <v>2747846.3569293302</v>
      </c>
      <c r="C8" s="3">
        <v>29742875498.603001</v>
      </c>
      <c r="D8" s="3">
        <v>30134718319.903301</v>
      </c>
      <c r="E8" s="3">
        <v>59877593818.506302</v>
      </c>
      <c r="F8" s="3">
        <v>3569145059.8323498</v>
      </c>
      <c r="G8" s="3">
        <v>3616166198.3884001</v>
      </c>
      <c r="H8" s="1">
        <v>5.7836230768009598</v>
      </c>
      <c r="I8" s="1">
        <v>6.2163769231990296</v>
      </c>
      <c r="J8" s="22">
        <v>5.9607356144782804</v>
      </c>
      <c r="K8" s="1">
        <v>6.0392643855217099</v>
      </c>
    </row>
    <row r="9" spans="1:11" x14ac:dyDescent="0.2">
      <c r="A9">
        <v>8</v>
      </c>
      <c r="B9" s="3">
        <v>2747984.4327531499</v>
      </c>
      <c r="C9" s="3">
        <v>33989743428.753101</v>
      </c>
      <c r="D9" s="3">
        <v>34113196809.400902</v>
      </c>
      <c r="E9" s="3">
        <v>68102940238.154099</v>
      </c>
      <c r="F9" s="3">
        <v>4078769211.4503798</v>
      </c>
      <c r="G9" s="3">
        <v>4093583617.1281099</v>
      </c>
      <c r="H9" s="1">
        <v>5.8240673550235202</v>
      </c>
      <c r="I9" s="1">
        <v>6.17593264497647</v>
      </c>
      <c r="J9" s="22">
        <v>5.9891235197585297</v>
      </c>
      <c r="K9" s="1">
        <v>6.0108764802414703</v>
      </c>
    </row>
    <row r="10" spans="1:11" x14ac:dyDescent="0.2">
      <c r="A10">
        <v>9</v>
      </c>
      <c r="B10" s="3">
        <v>2748042.5822946099</v>
      </c>
      <c r="C10" s="3">
        <v>40088129768.291</v>
      </c>
      <c r="D10" s="3">
        <v>39657623068.682297</v>
      </c>
      <c r="E10" s="3">
        <v>79745752836.973297</v>
      </c>
      <c r="F10" s="3">
        <v>4810575572.1949196</v>
      </c>
      <c r="G10" s="3">
        <v>4758914768.2418804</v>
      </c>
      <c r="H10" s="1">
        <v>5.8886923759085601</v>
      </c>
      <c r="I10" s="1">
        <v>6.1113076240914399</v>
      </c>
      <c r="J10" s="22">
        <v>6.0323909437902303</v>
      </c>
      <c r="K10" s="1">
        <v>5.9676090562097599</v>
      </c>
    </row>
    <row r="11" spans="1:11" x14ac:dyDescent="0.2">
      <c r="A11">
        <v>10</v>
      </c>
      <c r="B11" s="3">
        <v>2748063.5193039002</v>
      </c>
      <c r="C11" s="3">
        <v>59564986259.146202</v>
      </c>
      <c r="D11" s="3">
        <v>59038151385.299301</v>
      </c>
      <c r="E11" s="3">
        <v>118603137644.44501</v>
      </c>
      <c r="F11" s="3">
        <v>7147798351.0975399</v>
      </c>
      <c r="G11" s="3">
        <v>7084578166.2359104</v>
      </c>
      <c r="H11" s="1">
        <v>5.9839345361788396</v>
      </c>
      <c r="I11" s="1">
        <v>6.0160654638211497</v>
      </c>
      <c r="J11" s="22">
        <v>6.0266519866663</v>
      </c>
      <c r="K11" s="1">
        <v>5.9733480133336903</v>
      </c>
    </row>
    <row r="14" spans="1:11" x14ac:dyDescent="0.2">
      <c r="J14" s="3" t="s">
        <v>98</v>
      </c>
    </row>
    <row r="15" spans="1:11" x14ac:dyDescent="0.2">
      <c r="J15" s="3" t="s">
        <v>99</v>
      </c>
    </row>
  </sheetData>
  <conditionalFormatting sqref="K2:K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70206-C385-FB4D-AE0F-9F5493A369BC}">
  <dimension ref="A1:W24"/>
  <sheetViews>
    <sheetView zoomScale="120" zoomScaleNormal="120" workbookViewId="0">
      <selection activeCell="S26" sqref="S26"/>
    </sheetView>
  </sheetViews>
  <sheetFormatPr baseColWidth="10" defaultRowHeight="16" x14ac:dyDescent="0.2"/>
  <cols>
    <col min="1" max="1" width="7.6640625" customWidth="1"/>
    <col min="2" max="2" width="11" customWidth="1"/>
    <col min="3" max="4" width="14.33203125" customWidth="1"/>
    <col min="5" max="5" width="15.33203125" customWidth="1"/>
    <col min="6" max="6" width="15" bestFit="1" customWidth="1"/>
    <col min="7" max="7" width="17.5" bestFit="1" customWidth="1"/>
    <col min="8" max="8" width="16.6640625" bestFit="1" customWidth="1"/>
    <col min="9" max="9" width="14" bestFit="1" customWidth="1"/>
    <col min="10" max="10" width="15.5" bestFit="1" customWidth="1"/>
    <col min="11" max="11" width="15" bestFit="1" customWidth="1"/>
    <col min="12" max="13" width="16.33203125" bestFit="1" customWidth="1"/>
    <col min="14" max="21" width="11" bestFit="1" customWidth="1"/>
  </cols>
  <sheetData>
    <row r="1" spans="1:23" s="4" customFormat="1" ht="68" x14ac:dyDescent="0.2">
      <c r="A1" s="4" t="s">
        <v>0</v>
      </c>
      <c r="B1" s="4" t="s">
        <v>1</v>
      </c>
      <c r="C1" s="4" t="s">
        <v>19</v>
      </c>
      <c r="D1" s="4" t="s">
        <v>20</v>
      </c>
      <c r="E1" s="4" t="s">
        <v>6</v>
      </c>
      <c r="F1" s="4" t="s">
        <v>44</v>
      </c>
      <c r="G1" s="4" t="s">
        <v>45</v>
      </c>
      <c r="H1" s="4" t="s">
        <v>46</v>
      </c>
      <c r="I1" s="4" t="s">
        <v>47</v>
      </c>
      <c r="J1" s="4" t="s">
        <v>48</v>
      </c>
      <c r="K1" s="4" t="s">
        <v>49</v>
      </c>
      <c r="L1" s="4" t="s">
        <v>50</v>
      </c>
      <c r="M1" s="4" t="s">
        <v>51</v>
      </c>
      <c r="N1" s="4" t="s">
        <v>52</v>
      </c>
      <c r="O1" s="4" t="s">
        <v>53</v>
      </c>
      <c r="P1" s="4" t="s">
        <v>54</v>
      </c>
      <c r="Q1" s="4" t="s">
        <v>55</v>
      </c>
      <c r="R1" s="4" t="s">
        <v>56</v>
      </c>
      <c r="S1" s="4" t="s">
        <v>57</v>
      </c>
      <c r="T1" s="4" t="s">
        <v>58</v>
      </c>
      <c r="U1" s="4" t="s">
        <v>59</v>
      </c>
      <c r="V1" s="26" t="s">
        <v>101</v>
      </c>
    </row>
    <row r="2" spans="1:23" x14ac:dyDescent="0.2">
      <c r="A2">
        <v>1</v>
      </c>
      <c r="B2" s="3">
        <v>2747642.50515944</v>
      </c>
      <c r="C2" s="3">
        <v>12730887016.797501</v>
      </c>
      <c r="D2" s="3">
        <v>16287403643.337299</v>
      </c>
      <c r="E2" s="3">
        <v>29018290660.1348</v>
      </c>
      <c r="F2" s="3">
        <v>11749966829.580099</v>
      </c>
      <c r="G2" s="3">
        <v>2812553619.8122001</v>
      </c>
      <c r="H2" s="3">
        <v>682368.05463735096</v>
      </c>
      <c r="I2" s="3">
        <v>146439152.57548499</v>
      </c>
      <c r="J2" s="3">
        <v>740245419.25953496</v>
      </c>
      <c r="K2" s="3">
        <v>18722509.991712101</v>
      </c>
      <c r="L2" s="3">
        <v>706737356.34813797</v>
      </c>
      <c r="M2" s="3">
        <v>112056387.715506</v>
      </c>
      <c r="N2" s="2">
        <v>40.4915884508736</v>
      </c>
      <c r="O2" s="2">
        <v>9.6923476739312999</v>
      </c>
      <c r="P2" s="2">
        <v>2.35151016518965E-3</v>
      </c>
      <c r="Q2" s="2">
        <v>0.50464430965488405</v>
      </c>
      <c r="R2" s="2">
        <v>2.5509614881502198</v>
      </c>
      <c r="S2" s="2">
        <v>6.4519685914625494E-2</v>
      </c>
      <c r="T2" s="2">
        <v>2.4354892733879998</v>
      </c>
      <c r="U2" s="2">
        <v>0.386157782441157</v>
      </c>
      <c r="V2" s="10">
        <f>SUM(N2:U2)</f>
        <v>56.128060174518986</v>
      </c>
      <c r="W2" t="s">
        <v>62</v>
      </c>
    </row>
    <row r="3" spans="1:23" x14ac:dyDescent="0.2">
      <c r="A3">
        <v>2</v>
      </c>
      <c r="B3" s="3">
        <v>2748295.6540946802</v>
      </c>
      <c r="C3" s="3">
        <v>16171881744.9347</v>
      </c>
      <c r="D3" s="3">
        <v>18893257154.780602</v>
      </c>
      <c r="E3" s="3">
        <v>35065138899.715302</v>
      </c>
      <c r="F3" s="3">
        <v>12573505641.1355</v>
      </c>
      <c r="G3" s="3">
        <v>3912457149.9829502</v>
      </c>
      <c r="H3" s="3">
        <v>3514494.1785079702</v>
      </c>
      <c r="I3" s="3">
        <v>245559719.78979</v>
      </c>
      <c r="J3" s="3">
        <v>973711952.95135903</v>
      </c>
      <c r="K3" s="3">
        <v>21590797.297966398</v>
      </c>
      <c r="L3" s="3">
        <v>911750214.78615296</v>
      </c>
      <c r="M3" s="3">
        <v>251167184.65831101</v>
      </c>
      <c r="N3" s="2">
        <v>35.857566904540697</v>
      </c>
      <c r="O3" s="2">
        <v>11.1576833081209</v>
      </c>
      <c r="P3" s="2">
        <v>1.0022758468344399E-2</v>
      </c>
      <c r="Q3" s="2">
        <v>0.70029587075664901</v>
      </c>
      <c r="R3" s="2">
        <v>2.7768660940888501</v>
      </c>
      <c r="S3" s="2">
        <v>6.1573397326943599E-2</v>
      </c>
      <c r="T3" s="2">
        <v>2.60016142355436</v>
      </c>
      <c r="U3" s="2">
        <v>0.71628743686610497</v>
      </c>
    </row>
    <row r="4" spans="1:23" x14ac:dyDescent="0.2">
      <c r="A4">
        <v>3</v>
      </c>
      <c r="B4" s="3">
        <v>2747874.69444041</v>
      </c>
      <c r="C4" s="3">
        <v>18492395560.589802</v>
      </c>
      <c r="D4" s="3">
        <v>20558976669.909401</v>
      </c>
      <c r="E4" s="3">
        <v>39051372230.499298</v>
      </c>
      <c r="F4" s="3">
        <v>12873701452.5397</v>
      </c>
      <c r="G4" s="3">
        <v>4816495633.1432896</v>
      </c>
      <c r="H4" s="3">
        <v>6545345.8693788797</v>
      </c>
      <c r="I4" s="3">
        <v>297040768.76151502</v>
      </c>
      <c r="J4" s="3">
        <v>1176231165.2918501</v>
      </c>
      <c r="K4" s="3">
        <v>23549384.297754198</v>
      </c>
      <c r="L4" s="3">
        <v>990002976.11519504</v>
      </c>
      <c r="M4" s="3">
        <v>375409943.89073801</v>
      </c>
      <c r="N4" s="2">
        <v>32.966066791592297</v>
      </c>
      <c r="O4" s="2">
        <v>12.333742345119299</v>
      </c>
      <c r="P4" s="2">
        <v>1.6760860106900199E-2</v>
      </c>
      <c r="Q4" s="2">
        <v>0.76064105253009495</v>
      </c>
      <c r="R4" s="2">
        <v>3.0120098170921898</v>
      </c>
      <c r="S4" s="2">
        <v>6.03036025437335E-2</v>
      </c>
      <c r="T4" s="2">
        <v>2.5351298035616701</v>
      </c>
      <c r="U4" s="2">
        <v>0.96132330939587596</v>
      </c>
    </row>
    <row r="5" spans="1:23" x14ac:dyDescent="0.2">
      <c r="A5">
        <v>4</v>
      </c>
      <c r="B5" s="3">
        <v>2747979.4784429399</v>
      </c>
      <c r="C5" s="3">
        <v>21174220742.446899</v>
      </c>
      <c r="D5" s="3">
        <v>23060388456.8377</v>
      </c>
      <c r="E5" s="3">
        <v>44234609199.284698</v>
      </c>
      <c r="F5" s="3">
        <v>13497522993.0415</v>
      </c>
      <c r="G5" s="3">
        <v>5883270171.1771803</v>
      </c>
      <c r="H5" s="3">
        <v>20404872.510134902</v>
      </c>
      <c r="I5" s="3">
        <v>446415780.096394</v>
      </c>
      <c r="J5" s="3">
        <v>1431421145.7681899</v>
      </c>
      <c r="K5" s="3">
        <v>28546724.8645088</v>
      </c>
      <c r="L5" s="3">
        <v>1167293454.20645</v>
      </c>
      <c r="M5" s="3">
        <v>585513315.17335296</v>
      </c>
      <c r="N5" s="2">
        <v>30.513489860920401</v>
      </c>
      <c r="O5" s="2">
        <v>13.300151798950001</v>
      </c>
      <c r="P5" s="2">
        <v>4.61287504953585E-2</v>
      </c>
      <c r="Q5" s="2">
        <v>1.0092002352393601</v>
      </c>
      <c r="R5" s="2">
        <v>3.2359755668223298</v>
      </c>
      <c r="S5" s="2">
        <v>6.4534818734129196E-2</v>
      </c>
      <c r="T5" s="2">
        <v>2.6388691464359701</v>
      </c>
      <c r="U5" s="2">
        <v>1.3236543190322101</v>
      </c>
    </row>
    <row r="6" spans="1:23" x14ac:dyDescent="0.2">
      <c r="A6">
        <v>5</v>
      </c>
      <c r="B6" s="3">
        <v>2747628.8515828899</v>
      </c>
      <c r="C6" s="3">
        <v>23802239836.017101</v>
      </c>
      <c r="D6" s="3">
        <v>25029174922.970699</v>
      </c>
      <c r="E6" s="3">
        <v>48831414758.9879</v>
      </c>
      <c r="F6" s="3">
        <v>13949885494.784401</v>
      </c>
      <c r="G6" s="3">
        <v>6807475547.4025803</v>
      </c>
      <c r="H6" s="3">
        <v>29284980.175714001</v>
      </c>
      <c r="I6" s="3">
        <v>586394502.75655198</v>
      </c>
      <c r="J6" s="3">
        <v>1591829923.7634201</v>
      </c>
      <c r="K6" s="3">
        <v>35019412.1843872</v>
      </c>
      <c r="L6" s="3">
        <v>1258789933.1478701</v>
      </c>
      <c r="M6" s="3">
        <v>770495128.75581396</v>
      </c>
      <c r="N6" s="2">
        <v>28.5674407830193</v>
      </c>
      <c r="O6" s="2">
        <v>13.9407706719158</v>
      </c>
      <c r="P6" s="2">
        <v>5.9971598857523997E-2</v>
      </c>
      <c r="Q6" s="2">
        <v>1.20085503492118</v>
      </c>
      <c r="R6" s="2">
        <v>3.2598480540038701</v>
      </c>
      <c r="S6" s="2">
        <v>7.1714924413369602E-2</v>
      </c>
      <c r="T6" s="2">
        <v>2.57782810381544</v>
      </c>
      <c r="U6" s="2">
        <v>1.5778677160157299</v>
      </c>
    </row>
    <row r="7" spans="1:23" x14ac:dyDescent="0.2">
      <c r="A7">
        <v>6</v>
      </c>
      <c r="B7" s="3">
        <v>2748336.9317767601</v>
      </c>
      <c r="C7" s="3">
        <v>26514380477.310398</v>
      </c>
      <c r="D7" s="3">
        <v>27502940702.588501</v>
      </c>
      <c r="E7" s="3">
        <v>54017321179.898903</v>
      </c>
      <c r="F7" s="3">
        <v>14397728035.304501</v>
      </c>
      <c r="G7" s="3">
        <v>7927409860.6934099</v>
      </c>
      <c r="H7" s="3">
        <v>63180521.006016403</v>
      </c>
      <c r="I7" s="3">
        <v>683776655.87726998</v>
      </c>
      <c r="J7" s="3">
        <v>1798324006.6226399</v>
      </c>
      <c r="K7" s="3">
        <v>41077150.383075602</v>
      </c>
      <c r="L7" s="3">
        <v>1510439607.86689</v>
      </c>
      <c r="M7" s="3">
        <v>1081004864.8346601</v>
      </c>
      <c r="N7" s="2">
        <v>26.653909747494598</v>
      </c>
      <c r="O7" s="2">
        <v>14.675681221384499</v>
      </c>
      <c r="P7" s="2">
        <v>0.116963447327571</v>
      </c>
      <c r="Q7" s="2">
        <v>1.2658470300665601</v>
      </c>
      <c r="R7" s="2">
        <v>3.32916177133909</v>
      </c>
      <c r="S7" s="2">
        <v>7.6044404805400395E-2</v>
      </c>
      <c r="T7" s="2">
        <v>2.79621346426369</v>
      </c>
      <c r="U7" s="2">
        <v>2.00121894463165</v>
      </c>
    </row>
    <row r="8" spans="1:23" x14ac:dyDescent="0.2">
      <c r="A8">
        <v>7</v>
      </c>
      <c r="B8" s="3">
        <v>2747846.3569293302</v>
      </c>
      <c r="C8" s="3">
        <v>29742875498.603001</v>
      </c>
      <c r="D8" s="3">
        <v>30134718319.903301</v>
      </c>
      <c r="E8" s="3">
        <v>59877593818.506302</v>
      </c>
      <c r="F8" s="3">
        <v>14812993847.139601</v>
      </c>
      <c r="G8" s="3">
        <v>9078634070.8402691</v>
      </c>
      <c r="H8" s="3">
        <v>98781256.271991506</v>
      </c>
      <c r="I8" s="3">
        <v>940093141.09905696</v>
      </c>
      <c r="J8" s="3">
        <v>2005128937.83179</v>
      </c>
      <c r="K8" s="3">
        <v>43262154.6866671</v>
      </c>
      <c r="L8" s="3">
        <v>1698897899.0378699</v>
      </c>
      <c r="M8" s="3">
        <v>1456927012.9960101</v>
      </c>
      <c r="N8" s="2">
        <v>24.7387927645172</v>
      </c>
      <c r="O8" s="2">
        <v>15.161988803956101</v>
      </c>
      <c r="P8" s="2">
        <v>0.16497198696962501</v>
      </c>
      <c r="Q8" s="2">
        <v>1.5700249144088001</v>
      </c>
      <c r="R8" s="2">
        <v>3.3487132831514499</v>
      </c>
      <c r="S8" s="2">
        <v>7.2250990608938095E-2</v>
      </c>
      <c r="T8" s="2">
        <v>2.8372848518051099</v>
      </c>
      <c r="U8" s="2">
        <v>2.4331756172635601</v>
      </c>
    </row>
    <row r="9" spans="1:23" x14ac:dyDescent="0.2">
      <c r="A9">
        <v>8</v>
      </c>
      <c r="B9" s="3">
        <v>2747984.4327531499</v>
      </c>
      <c r="C9" s="3">
        <v>33989743428.753101</v>
      </c>
      <c r="D9" s="3">
        <v>34113196809.400902</v>
      </c>
      <c r="E9" s="3">
        <v>68102940238.154099</v>
      </c>
      <c r="F9" s="3">
        <v>15354359285.5842</v>
      </c>
      <c r="G9" s="3">
        <v>10607649334.290899</v>
      </c>
      <c r="H9" s="3">
        <v>259129992.405334</v>
      </c>
      <c r="I9" s="3">
        <v>1331883811.2451601</v>
      </c>
      <c r="J9" s="3">
        <v>2229614217.6897001</v>
      </c>
      <c r="K9" s="3">
        <v>56873922.294415303</v>
      </c>
      <c r="L9" s="3">
        <v>2272578925.0672698</v>
      </c>
      <c r="M9" s="3">
        <v>2001107320.8238399</v>
      </c>
      <c r="N9" s="2">
        <v>22.545809669730001</v>
      </c>
      <c r="O9" s="2">
        <v>15.5759050889672</v>
      </c>
      <c r="P9" s="2">
        <v>0.380497510825764</v>
      </c>
      <c r="Q9" s="2">
        <v>1.9556920840533401</v>
      </c>
      <c r="R9" s="2">
        <v>3.2738883371155501</v>
      </c>
      <c r="S9" s="2">
        <v>8.3511698754163602E-2</v>
      </c>
      <c r="T9" s="2">
        <v>3.3369762261660401</v>
      </c>
      <c r="U9" s="2">
        <v>2.9383567197334202</v>
      </c>
    </row>
    <row r="10" spans="1:23" x14ac:dyDescent="0.2">
      <c r="A10">
        <v>9</v>
      </c>
      <c r="B10" s="3">
        <v>2748042.5822946099</v>
      </c>
      <c r="C10" s="3">
        <v>40088129768.291</v>
      </c>
      <c r="D10" s="3">
        <v>39657623068.682297</v>
      </c>
      <c r="E10" s="3">
        <v>79745752836.973297</v>
      </c>
      <c r="F10" s="3">
        <v>15656353582.4806</v>
      </c>
      <c r="G10" s="3">
        <v>13515157125.381001</v>
      </c>
      <c r="H10" s="3">
        <v>588308177.40277696</v>
      </c>
      <c r="I10" s="3">
        <v>1659423366.5900199</v>
      </c>
      <c r="J10" s="3">
        <v>2290156689.4618702</v>
      </c>
      <c r="K10" s="3">
        <v>73316810.959874198</v>
      </c>
      <c r="L10" s="3">
        <v>2926009636.4663601</v>
      </c>
      <c r="M10" s="3">
        <v>2948897679.9398398</v>
      </c>
      <c r="N10" s="2">
        <v>19.632836891623999</v>
      </c>
      <c r="O10" s="2">
        <v>16.947808058205201</v>
      </c>
      <c r="P10" s="2">
        <v>0.73772979309064102</v>
      </c>
      <c r="Q10" s="2">
        <v>2.0808924708284202</v>
      </c>
      <c r="R10" s="2">
        <v>2.8718227717326901</v>
      </c>
      <c r="S10" s="2">
        <v>9.1938201536272302E-2</v>
      </c>
      <c r="T10" s="2">
        <v>3.6691730059255798</v>
      </c>
      <c r="U10" s="2">
        <v>3.6978742754719001</v>
      </c>
    </row>
    <row r="11" spans="1:23" x14ac:dyDescent="0.2">
      <c r="A11">
        <v>10</v>
      </c>
      <c r="B11" s="3">
        <v>2748063.5193039002</v>
      </c>
      <c r="C11" s="3">
        <v>59564986259.146202</v>
      </c>
      <c r="D11" s="3">
        <v>59038151385.299301</v>
      </c>
      <c r="E11" s="3">
        <v>118603137644.44501</v>
      </c>
      <c r="F11" s="3">
        <v>16542862951.057899</v>
      </c>
      <c r="G11" s="3">
        <v>23160110972.182598</v>
      </c>
      <c r="H11" s="3">
        <v>3164214992.7171102</v>
      </c>
      <c r="I11" s="3">
        <v>3337260493.5719199</v>
      </c>
      <c r="J11" s="3">
        <v>2376970075.4717598</v>
      </c>
      <c r="K11" s="3">
        <v>114666989.84030101</v>
      </c>
      <c r="L11" s="3">
        <v>5048127232.1395798</v>
      </c>
      <c r="M11" s="3">
        <v>5293937678.3180199</v>
      </c>
      <c r="N11" s="2">
        <v>13.9480820487658</v>
      </c>
      <c r="O11" s="2">
        <v>19.527401578205399</v>
      </c>
      <c r="P11" s="2">
        <v>2.6679015880700798</v>
      </c>
      <c r="Q11" s="2">
        <v>2.8138045585071501</v>
      </c>
      <c r="R11" s="2">
        <v>2.0041375992914801</v>
      </c>
      <c r="S11" s="2">
        <v>9.6681244794767598E-2</v>
      </c>
      <c r="T11" s="2">
        <v>4.2563184519393698</v>
      </c>
      <c r="U11" s="2">
        <v>4.4635730415399699</v>
      </c>
      <c r="V11" s="10">
        <f>SUM(N11:U11)</f>
        <v>49.777900111114022</v>
      </c>
      <c r="W11" t="s">
        <v>105</v>
      </c>
    </row>
    <row r="13" spans="1:23" ht="29" customHeight="1" x14ac:dyDescent="0.2">
      <c r="E13" t="s">
        <v>102</v>
      </c>
      <c r="O13" t="s">
        <v>63</v>
      </c>
    </row>
    <row r="14" spans="1:23" ht="35" thickBot="1" x14ac:dyDescent="0.25">
      <c r="E14" s="4" t="s">
        <v>0</v>
      </c>
      <c r="F14" s="4" t="s">
        <v>44</v>
      </c>
      <c r="G14" s="4" t="s">
        <v>45</v>
      </c>
      <c r="H14" s="4" t="s">
        <v>46</v>
      </c>
      <c r="I14" s="4" t="s">
        <v>47</v>
      </c>
      <c r="J14" s="4" t="s">
        <v>48</v>
      </c>
      <c r="K14" s="4" t="s">
        <v>49</v>
      </c>
      <c r="L14" s="4" t="s">
        <v>50</v>
      </c>
      <c r="M14" s="4" t="s">
        <v>51</v>
      </c>
      <c r="O14" t="s">
        <v>100</v>
      </c>
    </row>
    <row r="15" spans="1:23" ht="20" customHeight="1" thickBot="1" x14ac:dyDescent="0.25">
      <c r="E15" s="20">
        <v>1</v>
      </c>
      <c r="F15" s="11">
        <f>F2/$D2</f>
        <v>0.72141435718557068</v>
      </c>
      <c r="G15" s="9">
        <f>G2/$D2</f>
        <v>0.17268274805498135</v>
      </c>
      <c r="H15" s="9">
        <f>H2/$D2</f>
        <v>4.1895446909765005E-5</v>
      </c>
      <c r="I15" s="9">
        <f>I2/$D2</f>
        <v>8.9909451366356335E-3</v>
      </c>
      <c r="J15" s="9">
        <f>J2/$D2</f>
        <v>4.5448951562169194E-2</v>
      </c>
      <c r="K15" s="9">
        <f>K2/$D2</f>
        <v>1.1495085651279315E-3</v>
      </c>
      <c r="L15" s="9">
        <f>L2/$D2</f>
        <v>4.3391652336021255E-2</v>
      </c>
      <c r="M15" s="9">
        <f>M2/$D2</f>
        <v>6.8799417125850497E-3</v>
      </c>
      <c r="O15" t="s">
        <v>60</v>
      </c>
    </row>
    <row r="16" spans="1:23" ht="20" customHeight="1" x14ac:dyDescent="0.2">
      <c r="E16" s="20">
        <v>2</v>
      </c>
      <c r="F16" s="9">
        <f>F3/$D3</f>
        <v>0.66550227618925939</v>
      </c>
      <c r="G16" s="9">
        <f>G3/$D3</f>
        <v>0.20708219434746711</v>
      </c>
      <c r="H16" s="9">
        <f>H3/$D3</f>
        <v>1.8601843767413552E-4</v>
      </c>
      <c r="I16" s="9">
        <f>I3/$D3</f>
        <v>1.2997214708828303E-2</v>
      </c>
      <c r="J16" s="9">
        <f>J3/$D3</f>
        <v>5.1537537703231794E-2</v>
      </c>
      <c r="K16" s="9">
        <f>K3/$D3</f>
        <v>1.14277792977074E-3</v>
      </c>
      <c r="L16" s="9">
        <f>L3/$D3</f>
        <v>4.8257968825425678E-2</v>
      </c>
      <c r="M16" s="9">
        <f>M3/$D3</f>
        <v>1.3294011858339505E-2</v>
      </c>
    </row>
    <row r="17" spans="5:21" ht="20" customHeight="1" x14ac:dyDescent="0.2">
      <c r="E17" s="20">
        <v>3</v>
      </c>
      <c r="F17" s="9">
        <f>F4/$D4</f>
        <v>0.6261839613535799</v>
      </c>
      <c r="G17" s="9">
        <f>G4/$D4</f>
        <v>0.23427701244453597</v>
      </c>
      <c r="H17" s="9">
        <f>H4/$D4</f>
        <v>3.1836924446530459E-4</v>
      </c>
      <c r="I17" s="9">
        <f>I4/$D4</f>
        <v>1.4448227337903975E-2</v>
      </c>
      <c r="J17" s="9">
        <f>J4/$D4</f>
        <v>5.7212534659539231E-2</v>
      </c>
      <c r="K17" s="9">
        <f>K4/$D4</f>
        <v>1.1454550815372844E-3</v>
      </c>
      <c r="L17" s="9">
        <f>L4/$D4</f>
        <v>4.8154292502514802E-2</v>
      </c>
      <c r="M17" s="9">
        <f>M4/$D4</f>
        <v>1.8260147375924445E-2</v>
      </c>
      <c r="O17" t="s">
        <v>61</v>
      </c>
    </row>
    <row r="18" spans="5:21" ht="20" customHeight="1" x14ac:dyDescent="0.2">
      <c r="E18" s="20">
        <v>4</v>
      </c>
      <c r="F18" s="9">
        <f>F5/$D5</f>
        <v>0.58531203922713249</v>
      </c>
      <c r="G18" s="9">
        <f>G5/$D5</f>
        <v>0.25512450417688931</v>
      </c>
      <c r="H18" s="9">
        <f>H5/$D5</f>
        <v>8.8484513382447363E-4</v>
      </c>
      <c r="I18" s="9">
        <f>I5/$D5</f>
        <v>1.9358554212213455E-2</v>
      </c>
      <c r="J18" s="9">
        <f>J5/$D5</f>
        <v>6.2072724769896719E-2</v>
      </c>
      <c r="K18" s="9">
        <f>K5/$D5</f>
        <v>1.2379117081197447E-3</v>
      </c>
      <c r="L18" s="9">
        <f>L5/$D5</f>
        <v>5.0618984861910798E-2</v>
      </c>
      <c r="M18" s="9">
        <f>M5/$D5</f>
        <v>2.5390435910013508E-2</v>
      </c>
    </row>
    <row r="19" spans="5:21" ht="20" customHeight="1" x14ac:dyDescent="0.25">
      <c r="E19" s="20">
        <v>5</v>
      </c>
      <c r="F19" s="9">
        <f>F6/$D6</f>
        <v>0.55734499989377584</v>
      </c>
      <c r="G19" s="9">
        <f>G6/$D6</f>
        <v>0.27198162018337135</v>
      </c>
      <c r="H19" s="9">
        <f>H6/$D6</f>
        <v>1.1700337812109622E-3</v>
      </c>
      <c r="I19" s="9">
        <f>I6/$D6</f>
        <v>2.3428439193909838E-2</v>
      </c>
      <c r="J19" s="9">
        <f>J6/$D6</f>
        <v>6.359897714017361E-2</v>
      </c>
      <c r="K19" s="9">
        <f>K6/$D6</f>
        <v>1.3991436909990944E-3</v>
      </c>
      <c r="L19" s="9">
        <f>L6/$D6</f>
        <v>5.0292905659970709E-2</v>
      </c>
      <c r="M19" s="9">
        <f>M6/$D6</f>
        <v>3.0783880456590147E-2</v>
      </c>
      <c r="O19" s="27" t="s">
        <v>103</v>
      </c>
      <c r="P19" s="28"/>
      <c r="Q19" s="28"/>
      <c r="R19" s="28"/>
      <c r="S19" s="28"/>
      <c r="T19" s="28"/>
      <c r="U19" s="28"/>
    </row>
    <row r="20" spans="5:21" ht="20" customHeight="1" x14ac:dyDescent="0.25">
      <c r="E20" s="20">
        <v>6</v>
      </c>
      <c r="F20" s="9">
        <f>F7/$D7</f>
        <v>0.52349776669334225</v>
      </c>
      <c r="G20" s="9">
        <f>G7/$D7</f>
        <v>0.28823862678609141</v>
      </c>
      <c r="H20" s="9">
        <f>H7/$D7</f>
        <v>2.2972278378969864E-3</v>
      </c>
      <c r="I20" s="9">
        <f>I7/$D7</f>
        <v>2.4861947064915672E-2</v>
      </c>
      <c r="J20" s="9">
        <f>J7/$D7</f>
        <v>6.5386608147447539E-2</v>
      </c>
      <c r="K20" s="9">
        <f>K7/$D7</f>
        <v>1.4935548466353467E-3</v>
      </c>
      <c r="L20" s="9">
        <f>L7/$D7</f>
        <v>5.4919203884431583E-2</v>
      </c>
      <c r="M20" s="9">
        <f>M7/$D7</f>
        <v>3.9305064739237824E-2</v>
      </c>
      <c r="O20" s="27" t="s">
        <v>104</v>
      </c>
      <c r="P20" s="28"/>
      <c r="Q20" s="28"/>
      <c r="R20" s="28"/>
      <c r="S20" s="28"/>
      <c r="T20" s="28"/>
      <c r="U20" s="28"/>
    </row>
    <row r="21" spans="5:21" ht="20" customHeight="1" x14ac:dyDescent="0.2">
      <c r="E21" s="20">
        <v>7</v>
      </c>
      <c r="F21" s="9">
        <f>F8/$D8</f>
        <v>0.49155906120934112</v>
      </c>
      <c r="G21" s="9">
        <f>G8/$D8</f>
        <v>0.30126825724612916</v>
      </c>
      <c r="H21" s="9">
        <f>H8/$D8</f>
        <v>3.2779883728579176E-3</v>
      </c>
      <c r="I21" s="9">
        <f>I8/$D8</f>
        <v>3.1196347386401375E-2</v>
      </c>
      <c r="J21" s="9">
        <f>J8/$D8</f>
        <v>6.6538831275799501E-2</v>
      </c>
      <c r="K21" s="9">
        <f>K8/$D8</f>
        <v>1.4356249900001031E-3</v>
      </c>
      <c r="L21" s="9">
        <f>L8/$D8</f>
        <v>5.6376763870919819E-2</v>
      </c>
      <c r="M21" s="9">
        <f>M8/$D8</f>
        <v>4.8347125648549455E-2</v>
      </c>
    </row>
    <row r="22" spans="5:21" ht="20" customHeight="1" x14ac:dyDescent="0.2">
      <c r="E22" s="20">
        <v>8</v>
      </c>
      <c r="F22" s="9">
        <f>F9/$D9</f>
        <v>0.45010027560222238</v>
      </c>
      <c r="G22" s="9">
        <f>G9/$D9</f>
        <v>0.31095442017816538</v>
      </c>
      <c r="H22" s="9">
        <f>H9/$D9</f>
        <v>7.5961802657534298E-3</v>
      </c>
      <c r="I22" s="9">
        <f>I9/$D9</f>
        <v>3.9043066490857876E-2</v>
      </c>
      <c r="J22" s="9">
        <f>J9/$D9</f>
        <v>6.5359286910198461E-2</v>
      </c>
      <c r="K22" s="9">
        <f>K9/$D9</f>
        <v>1.6672117424873533E-3</v>
      </c>
      <c r="L22" s="9">
        <f>L9/$D9</f>
        <v>6.661876158264339E-2</v>
      </c>
      <c r="M22" s="9">
        <f>M9/$D9</f>
        <v>5.8660797227669252E-2</v>
      </c>
    </row>
    <row r="23" spans="5:21" ht="20" customHeight="1" thickBot="1" x14ac:dyDescent="0.25">
      <c r="E23" s="20">
        <v>9</v>
      </c>
      <c r="F23" s="9">
        <f>F10/$D10</f>
        <v>0.39478799713653173</v>
      </c>
      <c r="G23" s="9">
        <f>G10/$D10</f>
        <v>0.34079594487986214</v>
      </c>
      <c r="H23" s="9">
        <f>H10/$D10</f>
        <v>1.4834680746849023E-2</v>
      </c>
      <c r="I23" s="9">
        <f>I10/$D10</f>
        <v>4.184374246827894E-2</v>
      </c>
      <c r="J23" s="9">
        <f>J10/$D10</f>
        <v>5.7748208597766706E-2</v>
      </c>
      <c r="K23" s="9">
        <f>K10/$D10</f>
        <v>1.8487444603752015E-3</v>
      </c>
      <c r="L23" s="9">
        <f>L10/$D10</f>
        <v>7.3781770314344325E-2</v>
      </c>
      <c r="M23" s="9">
        <f>M10/$D10</f>
        <v>7.4358911395993127E-2</v>
      </c>
    </row>
    <row r="24" spans="5:21" ht="20" customHeight="1" thickBot="1" x14ac:dyDescent="0.25">
      <c r="E24" s="20">
        <v>10</v>
      </c>
      <c r="F24" s="11">
        <f>F11/$D11</f>
        <v>0.28020631681189678</v>
      </c>
      <c r="G24" s="11">
        <f>G11/$D11</f>
        <v>0.39229058547299878</v>
      </c>
      <c r="H24" s="9">
        <f>H11/$D11</f>
        <v>5.359610554311852E-2</v>
      </c>
      <c r="I24" s="9">
        <f>I11/$D11</f>
        <v>5.6527184799402594E-2</v>
      </c>
      <c r="J24" s="9">
        <f>J11/$D11</f>
        <v>4.0261593896444958E-2</v>
      </c>
      <c r="K24" s="9">
        <f>K11/$D11</f>
        <v>1.9422523766361268E-3</v>
      </c>
      <c r="L24" s="12">
        <f>L11/$D11</f>
        <v>8.5506187332901148E-2</v>
      </c>
      <c r="M24" s="13">
        <f>M11/$D11</f>
        <v>8.966977376659914E-2</v>
      </c>
    </row>
  </sheetData>
  <conditionalFormatting sqref="F15:M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6:M2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U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U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U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:U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:U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7:U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8:U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9:U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0:U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1:U1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C801C-C42A-5A46-B8CE-335E1DD1C035}">
  <dimension ref="A1:S13"/>
  <sheetViews>
    <sheetView topLeftCell="B1" zoomScale="120" zoomScaleNormal="120" workbookViewId="0">
      <selection activeCell="Q17" sqref="Q17"/>
    </sheetView>
  </sheetViews>
  <sheetFormatPr baseColWidth="10" defaultRowHeight="16" x14ac:dyDescent="0.2"/>
  <cols>
    <col min="1" max="1" width="6.6640625" customWidth="1"/>
    <col min="2" max="2" width="13" bestFit="1" customWidth="1"/>
    <col min="3" max="7" width="16.33203125" customWidth="1"/>
    <col min="8" max="15" width="11" bestFit="1" customWidth="1"/>
    <col min="16" max="17" width="16.6640625" bestFit="1" customWidth="1"/>
    <col min="18" max="18" width="13.33203125" customWidth="1"/>
    <col min="19" max="19" width="10.83203125" style="20"/>
  </cols>
  <sheetData>
    <row r="1" spans="1:19" s="24" customFormat="1" ht="48" customHeight="1" x14ac:dyDescent="0.2">
      <c r="P1" s="29" t="s">
        <v>69</v>
      </c>
      <c r="Q1" s="30"/>
    </row>
    <row r="2" spans="1:19" s="4" customFormat="1" ht="34" x14ac:dyDescent="0.2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64</v>
      </c>
      <c r="O2" s="4" t="s">
        <v>65</v>
      </c>
      <c r="P2" s="26" t="s">
        <v>66</v>
      </c>
      <c r="Q2" s="26" t="s">
        <v>67</v>
      </c>
      <c r="R2" s="4" t="s">
        <v>68</v>
      </c>
    </row>
    <row r="3" spans="1:19" x14ac:dyDescent="0.2">
      <c r="A3">
        <v>1</v>
      </c>
      <c r="B3" s="3">
        <v>2747642.50515944</v>
      </c>
      <c r="C3" s="3">
        <v>32807166219.147499</v>
      </c>
      <c r="D3" s="3">
        <v>29276373226.599098</v>
      </c>
      <c r="E3" s="3">
        <v>12730887016.797501</v>
      </c>
      <c r="F3" s="3">
        <v>16287403643.337299</v>
      </c>
      <c r="G3" s="3">
        <v>29018290660.1348</v>
      </c>
      <c r="H3" s="2">
        <v>43.871939825480901</v>
      </c>
      <c r="I3" s="2">
        <v>56.128060174519</v>
      </c>
      <c r="J3" s="2">
        <v>38.805201679891702</v>
      </c>
      <c r="K3" s="2">
        <v>49.645871681021198</v>
      </c>
      <c r="L3" s="2">
        <v>43.485191687715101</v>
      </c>
      <c r="M3" s="2">
        <v>55.633269590030203</v>
      </c>
      <c r="N3" s="2">
        <v>4.5101528767221497</v>
      </c>
      <c r="O3" s="2">
        <v>5.5347405121886402</v>
      </c>
      <c r="P3" s="23">
        <v>1527706442.0157001</v>
      </c>
      <c r="Q3" s="23">
        <v>1954488437.20047</v>
      </c>
      <c r="R3" s="22">
        <v>5.2646327790577097</v>
      </c>
      <c r="S3" s="21">
        <f>P3/G3</f>
        <v>5.2646327790577152E-2</v>
      </c>
    </row>
    <row r="4" spans="1:19" x14ac:dyDescent="0.2">
      <c r="A4">
        <v>2</v>
      </c>
      <c r="B4" s="3">
        <v>2748295.6540946802</v>
      </c>
      <c r="C4" s="3">
        <v>41822410674.936996</v>
      </c>
      <c r="D4" s="3">
        <v>35426039310.566101</v>
      </c>
      <c r="E4" s="3">
        <v>16171881744.9347</v>
      </c>
      <c r="F4" s="3">
        <v>18893257154.780602</v>
      </c>
      <c r="G4" s="3">
        <v>35065138899.715302</v>
      </c>
      <c r="H4" s="2">
        <v>46.119542806277003</v>
      </c>
      <c r="I4" s="2">
        <v>53.880457193722897</v>
      </c>
      <c r="J4" s="2">
        <v>38.667980835992402</v>
      </c>
      <c r="K4" s="2">
        <v>45.174959668460197</v>
      </c>
      <c r="L4" s="2">
        <v>45.649703042336199</v>
      </c>
      <c r="M4" s="2">
        <v>53.331553632487299</v>
      </c>
      <c r="N4" s="2">
        <v>5.7291890877431797</v>
      </c>
      <c r="O4" s="2">
        <v>6.4202544537869501</v>
      </c>
      <c r="P4" s="23">
        <v>1940625809.3921599</v>
      </c>
      <c r="Q4" s="23">
        <v>2267190858.5736699</v>
      </c>
      <c r="R4" s="22">
        <v>5.5343451367532399</v>
      </c>
      <c r="S4" s="21">
        <f t="shared" ref="S4:S12" si="0">P4/G4</f>
        <v>5.5343451367532333E-2</v>
      </c>
    </row>
    <row r="5" spans="1:19" x14ac:dyDescent="0.2">
      <c r="A5">
        <v>3</v>
      </c>
      <c r="B5" s="3">
        <v>2747874.69444041</v>
      </c>
      <c r="C5" s="3">
        <v>47728594014.963997</v>
      </c>
      <c r="D5" s="3">
        <v>39497871055.729301</v>
      </c>
      <c r="E5" s="3">
        <v>18492395560.589802</v>
      </c>
      <c r="F5" s="3">
        <v>20558976669.909401</v>
      </c>
      <c r="G5" s="3">
        <v>39051372230.499298</v>
      </c>
      <c r="H5" s="2">
        <v>47.354022418057802</v>
      </c>
      <c r="I5" s="2">
        <v>52.645977581942098</v>
      </c>
      <c r="J5" s="2">
        <v>38.744899032207101</v>
      </c>
      <c r="K5" s="2">
        <v>43.074758630986999</v>
      </c>
      <c r="L5" s="2">
        <v>46.8187146960353</v>
      </c>
      <c r="M5" s="2">
        <v>52.050847603664103</v>
      </c>
      <c r="N5" s="2">
        <v>6.5512741512066697</v>
      </c>
      <c r="O5" s="2">
        <v>6.9862946578742502</v>
      </c>
      <c r="P5" s="23">
        <v>2219087467.2707801</v>
      </c>
      <c r="Q5" s="23">
        <v>2467077200.3891301</v>
      </c>
      <c r="R5" s="22">
        <v>5.6824826901669301</v>
      </c>
      <c r="S5" s="21">
        <f t="shared" si="0"/>
        <v>5.6824826901669352E-2</v>
      </c>
    </row>
    <row r="6" spans="1:19" x14ac:dyDescent="0.2">
      <c r="A6">
        <v>4</v>
      </c>
      <c r="B6" s="3">
        <v>2747979.4784429399</v>
      </c>
      <c r="C6" s="3">
        <v>55228987672.520798</v>
      </c>
      <c r="D6" s="3">
        <v>44792749154.822098</v>
      </c>
      <c r="E6" s="3">
        <v>21174220742.446899</v>
      </c>
      <c r="F6" s="3">
        <v>23060388456.8377</v>
      </c>
      <c r="G6" s="3">
        <v>44234609199.284698</v>
      </c>
      <c r="H6" s="2">
        <v>47.867995503370103</v>
      </c>
      <c r="I6" s="2">
        <v>52.132004496629797</v>
      </c>
      <c r="J6" s="2">
        <v>38.338962263800802</v>
      </c>
      <c r="K6" s="2">
        <v>41.754139318239503</v>
      </c>
      <c r="L6" s="2">
        <v>47.271536447249801</v>
      </c>
      <c r="M6" s="2">
        <v>51.4824137655215</v>
      </c>
      <c r="N6" s="2">
        <v>7.5013604682763004</v>
      </c>
      <c r="O6" s="2">
        <v>7.8363175011677102</v>
      </c>
      <c r="P6" s="23">
        <v>2540906489.0936298</v>
      </c>
      <c r="Q6" s="23">
        <v>2767246614.8205199</v>
      </c>
      <c r="R6" s="22">
        <v>5.7441594604044202</v>
      </c>
      <c r="S6" s="21">
        <f t="shared" si="0"/>
        <v>5.7441594604044063E-2</v>
      </c>
    </row>
    <row r="7" spans="1:19" x14ac:dyDescent="0.2">
      <c r="A7">
        <v>5</v>
      </c>
      <c r="B7" s="3">
        <v>2747628.8515828899</v>
      </c>
      <c r="C7" s="3">
        <v>62300009849.796898</v>
      </c>
      <c r="D7" s="3">
        <v>49501029635.587097</v>
      </c>
      <c r="E7" s="3">
        <v>23802239836.017101</v>
      </c>
      <c r="F7" s="3">
        <v>25029174922.970699</v>
      </c>
      <c r="G7" s="3">
        <v>48831414758.9879</v>
      </c>
      <c r="H7" s="2">
        <v>48.743703113037597</v>
      </c>
      <c r="I7" s="2">
        <v>51.256296886962197</v>
      </c>
      <c r="J7" s="2">
        <v>38.205836392969204</v>
      </c>
      <c r="K7" s="2">
        <v>40.175234295010902</v>
      </c>
      <c r="L7" s="2">
        <v>48.084332813362899</v>
      </c>
      <c r="M7" s="2">
        <v>50.5629379979136</v>
      </c>
      <c r="N7" s="2">
        <v>8.43238498049665</v>
      </c>
      <c r="O7" s="2">
        <v>8.5053450793239804</v>
      </c>
      <c r="P7" s="23">
        <v>2856268780.3220501</v>
      </c>
      <c r="Q7" s="23">
        <v>3003500990.7564902</v>
      </c>
      <c r="R7" s="22">
        <v>5.8492443735645203</v>
      </c>
      <c r="S7" s="21">
        <f t="shared" si="0"/>
        <v>5.8492443735645112E-2</v>
      </c>
    </row>
    <row r="8" spans="1:19" x14ac:dyDescent="0.2">
      <c r="A8">
        <v>6</v>
      </c>
      <c r="B8" s="3">
        <v>2748336.9317767601</v>
      </c>
      <c r="C8" s="3">
        <v>70697712578.309692</v>
      </c>
      <c r="D8" s="3">
        <v>54853430904.834999</v>
      </c>
      <c r="E8" s="3">
        <v>26514380477.310398</v>
      </c>
      <c r="F8" s="3">
        <v>27502940702.588501</v>
      </c>
      <c r="G8" s="3">
        <v>54017321179.898903</v>
      </c>
      <c r="H8" s="2">
        <v>49.084959968686903</v>
      </c>
      <c r="I8" s="2">
        <v>50.915040031313097</v>
      </c>
      <c r="J8" s="2">
        <v>37.503873195248303</v>
      </c>
      <c r="K8" s="2">
        <v>38.902164864420897</v>
      </c>
      <c r="L8" s="2">
        <v>48.336776824972098</v>
      </c>
      <c r="M8" s="2">
        <v>50.138961681910502</v>
      </c>
      <c r="N8" s="2">
        <v>9.39321111140681</v>
      </c>
      <c r="O8" s="2">
        <v>9.3459733327851708</v>
      </c>
      <c r="P8" s="23">
        <v>3181725657.2772498</v>
      </c>
      <c r="Q8" s="23">
        <v>3300352884.3106198</v>
      </c>
      <c r="R8" s="22">
        <v>5.8901951962424297</v>
      </c>
      <c r="S8" s="21">
        <f t="shared" si="0"/>
        <v>5.8901951962424301E-2</v>
      </c>
    </row>
    <row r="9" spans="1:19" x14ac:dyDescent="0.2">
      <c r="A9">
        <v>7</v>
      </c>
      <c r="B9" s="3">
        <v>2747846.3569293302</v>
      </c>
      <c r="C9" s="3">
        <v>80541995781.497406</v>
      </c>
      <c r="D9" s="3">
        <v>60962714759.237099</v>
      </c>
      <c r="E9" s="3">
        <v>29742875498.603001</v>
      </c>
      <c r="F9" s="3">
        <v>30134718319.903301</v>
      </c>
      <c r="G9" s="3">
        <v>59877593818.506302</v>
      </c>
      <c r="H9" s="2">
        <v>49.672796787319001</v>
      </c>
      <c r="I9" s="2">
        <v>50.327203212680899</v>
      </c>
      <c r="J9" s="2">
        <v>36.928406367396803</v>
      </c>
      <c r="K9" s="2">
        <v>37.414913831606398</v>
      </c>
      <c r="L9" s="2">
        <v>48.788633537840099</v>
      </c>
      <c r="M9" s="2">
        <v>49.431391693949003</v>
      </c>
      <c r="N9" s="2">
        <v>10.5369653595243</v>
      </c>
      <c r="O9" s="2">
        <v>10.240296732425501</v>
      </c>
      <c r="P9" s="23">
        <v>3569145059.8323598</v>
      </c>
      <c r="Q9" s="23">
        <v>3616166198.3884001</v>
      </c>
      <c r="R9" s="22">
        <v>5.9607356144782901</v>
      </c>
      <c r="S9" s="21">
        <f t="shared" si="0"/>
        <v>5.9607356144782957E-2</v>
      </c>
    </row>
    <row r="10" spans="1:19" x14ac:dyDescent="0.2">
      <c r="A10">
        <v>8</v>
      </c>
      <c r="B10" s="3">
        <v>2747984.4327531499</v>
      </c>
      <c r="C10" s="3">
        <v>95316514865.332199</v>
      </c>
      <c r="D10" s="3">
        <v>69592985603.748001</v>
      </c>
      <c r="E10" s="3">
        <v>33989743428.753101</v>
      </c>
      <c r="F10" s="3">
        <v>34113196809.400902</v>
      </c>
      <c r="G10" s="3">
        <v>68102940238.154099</v>
      </c>
      <c r="H10" s="2">
        <v>49.909362664654402</v>
      </c>
      <c r="I10" s="2">
        <v>50.090637335345598</v>
      </c>
      <c r="J10" s="2">
        <v>35.659868047814697</v>
      </c>
      <c r="K10" s="2">
        <v>35.789387450430397</v>
      </c>
      <c r="L10" s="2">
        <v>48.8407605075109</v>
      </c>
      <c r="M10" s="2">
        <v>49.018153932403898</v>
      </c>
      <c r="N10" s="2">
        <v>12.041497100867399</v>
      </c>
      <c r="O10" s="2">
        <v>11.5922523021949</v>
      </c>
      <c r="P10" s="23">
        <v>4078769211.4503798</v>
      </c>
      <c r="Q10" s="23">
        <v>4093583617.1281099</v>
      </c>
      <c r="R10" s="22">
        <v>5.98912351975852</v>
      </c>
      <c r="S10" s="21">
        <f t="shared" si="0"/>
        <v>5.9891235197585255E-2</v>
      </c>
    </row>
    <row r="11" spans="1:19" x14ac:dyDescent="0.2">
      <c r="A11">
        <v>9</v>
      </c>
      <c r="B11" s="3">
        <v>2748042.5822946099</v>
      </c>
      <c r="C11" s="3">
        <v>117372854152.933</v>
      </c>
      <c r="D11" s="3">
        <v>82061193028.969299</v>
      </c>
      <c r="E11" s="3">
        <v>40088129768.291</v>
      </c>
      <c r="F11" s="3">
        <v>39657623068.682297</v>
      </c>
      <c r="G11" s="3">
        <v>79745752836.973297</v>
      </c>
      <c r="H11" s="2">
        <v>50.269924531585197</v>
      </c>
      <c r="I11" s="2">
        <v>49.730075468414697</v>
      </c>
      <c r="J11" s="2">
        <v>34.154515588465898</v>
      </c>
      <c r="K11" s="2">
        <v>33.7877300120943</v>
      </c>
      <c r="L11" s="2">
        <v>48.851507379546597</v>
      </c>
      <c r="M11" s="2">
        <v>48.326890707867697</v>
      </c>
      <c r="N11" s="2">
        <v>14.2019635833945</v>
      </c>
      <c r="O11" s="2">
        <v>13.4763439171676</v>
      </c>
      <c r="P11" s="23">
        <v>4810575572.1949196</v>
      </c>
      <c r="Q11" s="23">
        <v>4758914768.2418804</v>
      </c>
      <c r="R11" s="22">
        <v>6.0323909437902197</v>
      </c>
      <c r="S11" s="21">
        <f t="shared" si="0"/>
        <v>6.0323909437902327E-2</v>
      </c>
    </row>
    <row r="12" spans="1:19" x14ac:dyDescent="0.2">
      <c r="A12">
        <v>10</v>
      </c>
      <c r="B12" s="3">
        <v>2748063.5193039002</v>
      </c>
      <c r="C12" s="3">
        <v>205068163103.01001</v>
      </c>
      <c r="D12" s="3">
        <v>124958992792.82401</v>
      </c>
      <c r="E12" s="3">
        <v>59564986259.146202</v>
      </c>
      <c r="F12" s="3">
        <v>59038151385.299301</v>
      </c>
      <c r="G12" s="3">
        <v>118603137644.44501</v>
      </c>
      <c r="H12" s="2">
        <v>50.222099888885801</v>
      </c>
      <c r="I12" s="2">
        <v>49.7779001111141</v>
      </c>
      <c r="J12" s="2">
        <v>29.046432833762299</v>
      </c>
      <c r="K12" s="2">
        <v>28.7895256347729</v>
      </c>
      <c r="L12" s="2">
        <v>47.667626737278198</v>
      </c>
      <c r="M12" s="2">
        <v>47.246020527055002</v>
      </c>
      <c r="N12" s="2">
        <v>21.102001280361801</v>
      </c>
      <c r="O12" s="2">
        <v>20.0621815110851</v>
      </c>
      <c r="P12" s="23">
        <v>7147798351.0975399</v>
      </c>
      <c r="Q12" s="23">
        <v>7084578166.23592</v>
      </c>
      <c r="R12" s="22">
        <v>6.0266519866663</v>
      </c>
      <c r="S12" s="21">
        <f t="shared" si="0"/>
        <v>6.0266519866663239E-2</v>
      </c>
    </row>
    <row r="13" spans="1:19" x14ac:dyDescent="0.2">
      <c r="P13" s="31">
        <f>SUM(P3:P12)</f>
        <v>33872608839.94677</v>
      </c>
      <c r="Q13" s="31">
        <f>SUM(Q3:Q12)</f>
        <v>35313099736.045212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975D7-106D-0144-9A73-131DDC957899}">
  <dimension ref="A1:K11"/>
  <sheetViews>
    <sheetView tabSelected="1" zoomScale="120" zoomScaleNormal="120" workbookViewId="0">
      <selection activeCell="D18" sqref="D18"/>
    </sheetView>
  </sheetViews>
  <sheetFormatPr baseColWidth="10" defaultRowHeight="16" x14ac:dyDescent="0.2"/>
  <cols>
    <col min="2" max="2" width="13" bestFit="1" customWidth="1"/>
    <col min="3" max="3" width="11" bestFit="1" customWidth="1"/>
    <col min="4" max="4" width="13" bestFit="1" customWidth="1"/>
    <col min="5" max="7" width="17.6640625" bestFit="1" customWidth="1"/>
    <col min="8" max="9" width="16.6640625" bestFit="1" customWidth="1"/>
    <col min="10" max="11" width="11" bestFit="1" customWidth="1"/>
  </cols>
  <sheetData>
    <row r="1" spans="1:11" x14ac:dyDescent="0.2">
      <c r="A1" t="s">
        <v>0</v>
      </c>
      <c r="B1" t="s">
        <v>106</v>
      </c>
      <c r="C1" t="s">
        <v>107</v>
      </c>
      <c r="D1" t="s">
        <v>108</v>
      </c>
      <c r="E1" t="s">
        <v>19</v>
      </c>
      <c r="F1" t="s">
        <v>20</v>
      </c>
      <c r="G1" t="s">
        <v>6</v>
      </c>
      <c r="H1" t="s">
        <v>21</v>
      </c>
      <c r="I1" t="s">
        <v>22</v>
      </c>
      <c r="J1" t="s">
        <v>27</v>
      </c>
      <c r="K1" t="s">
        <v>28</v>
      </c>
    </row>
    <row r="2" spans="1:11" x14ac:dyDescent="0.2">
      <c r="A2">
        <v>1</v>
      </c>
      <c r="B2" s="3">
        <v>648947.35149137001</v>
      </c>
      <c r="C2" s="3">
        <v>6345</v>
      </c>
      <c r="D2" s="3">
        <v>896422.17372514296</v>
      </c>
      <c r="E2" s="3">
        <v>2844990137.0868301</v>
      </c>
      <c r="F2" s="3">
        <v>3851464144.91959</v>
      </c>
      <c r="G2" s="3">
        <v>6696454282.0064297</v>
      </c>
      <c r="H2" s="3">
        <v>341398816.45042002</v>
      </c>
      <c r="I2" s="3">
        <v>462175697.390351</v>
      </c>
      <c r="J2" s="2">
        <v>5.0128626953047801</v>
      </c>
      <c r="K2" s="2">
        <v>6.9871373046952101</v>
      </c>
    </row>
    <row r="3" spans="1:11" x14ac:dyDescent="0.2">
      <c r="A3">
        <v>2</v>
      </c>
      <c r="B3" s="3">
        <v>793545.70018893306</v>
      </c>
      <c r="C3" s="3">
        <v>7496</v>
      </c>
      <c r="D3" s="3">
        <v>1089817.1378904299</v>
      </c>
      <c r="E3" s="3">
        <v>4392000586.3037996</v>
      </c>
      <c r="F3" s="3">
        <v>5383705750.29778</v>
      </c>
      <c r="G3" s="3">
        <v>9775706336.6015797</v>
      </c>
      <c r="H3" s="3">
        <v>527040070.35645598</v>
      </c>
      <c r="I3" s="3">
        <v>646044690.03573298</v>
      </c>
      <c r="J3" s="2">
        <v>5.2307924074489298</v>
      </c>
      <c r="K3" s="2">
        <v>6.7692075925510604</v>
      </c>
    </row>
    <row r="4" spans="1:11" x14ac:dyDescent="0.2">
      <c r="A4">
        <v>3</v>
      </c>
      <c r="B4" s="3">
        <v>840794.53356600797</v>
      </c>
      <c r="C4" s="3">
        <v>7683</v>
      </c>
      <c r="D4" s="3">
        <v>1151454.4721846599</v>
      </c>
      <c r="E4" s="3">
        <v>5196718803.2028103</v>
      </c>
      <c r="F4" s="3">
        <v>6072687510.9037199</v>
      </c>
      <c r="G4" s="3">
        <v>11269406314.106501</v>
      </c>
      <c r="H4" s="3">
        <v>623606256.38433695</v>
      </c>
      <c r="I4" s="3">
        <v>728722501.30844605</v>
      </c>
      <c r="J4" s="2">
        <v>5.3344656143661799</v>
      </c>
      <c r="K4" s="2">
        <v>6.6655343856338103</v>
      </c>
    </row>
    <row r="5" spans="1:11" x14ac:dyDescent="0.2">
      <c r="A5">
        <v>4</v>
      </c>
      <c r="B5" s="3">
        <v>908975.75731956004</v>
      </c>
      <c r="C5" s="3">
        <v>7770</v>
      </c>
      <c r="D5" s="3">
        <v>1222612.4450381901</v>
      </c>
      <c r="E5" s="3">
        <v>6552979787.26719</v>
      </c>
      <c r="F5" s="3">
        <v>7479903141.3757095</v>
      </c>
      <c r="G5" s="3">
        <v>14032882928.6429</v>
      </c>
      <c r="H5" s="3">
        <v>786357574.47206199</v>
      </c>
      <c r="I5" s="3">
        <v>897588376.96508503</v>
      </c>
      <c r="J5" s="2">
        <v>5.4000172505011399</v>
      </c>
      <c r="K5" s="2">
        <v>6.5999827494988503</v>
      </c>
    </row>
    <row r="6" spans="1:11" x14ac:dyDescent="0.2">
      <c r="A6">
        <v>5</v>
      </c>
      <c r="B6" s="3">
        <v>1019996.63368056</v>
      </c>
      <c r="C6" s="3">
        <v>8235</v>
      </c>
      <c r="D6" s="3">
        <v>1386220.24466587</v>
      </c>
      <c r="E6" s="3">
        <v>8377555433.59727</v>
      </c>
      <c r="F6" s="3">
        <v>9109888693.9637508</v>
      </c>
      <c r="G6" s="3">
        <v>17487444127.561001</v>
      </c>
      <c r="H6" s="3">
        <v>1005306652.03167</v>
      </c>
      <c r="I6" s="3">
        <v>1093186643.27565</v>
      </c>
      <c r="J6" s="2">
        <v>5.4872910101990504</v>
      </c>
      <c r="K6" s="2">
        <v>6.5127089898009398</v>
      </c>
    </row>
    <row r="7" spans="1:11" x14ac:dyDescent="0.2">
      <c r="A7">
        <v>6</v>
      </c>
      <c r="B7" s="3">
        <v>1068484.42046699</v>
      </c>
      <c r="C7" s="3">
        <v>8090</v>
      </c>
      <c r="D7" s="3">
        <v>1457594.51263257</v>
      </c>
      <c r="E7" s="3">
        <v>9777427638.5063801</v>
      </c>
      <c r="F7" s="3">
        <v>10556697957.689301</v>
      </c>
      <c r="G7" s="3">
        <v>20334125596.195599</v>
      </c>
      <c r="H7" s="3">
        <v>1173291316.62076</v>
      </c>
      <c r="I7" s="3">
        <v>1266803754.9227099</v>
      </c>
      <c r="J7" s="2">
        <v>5.5215611712461801</v>
      </c>
      <c r="K7" s="2">
        <v>6.4784388287538102</v>
      </c>
    </row>
    <row r="8" spans="1:11" x14ac:dyDescent="0.2">
      <c r="A8">
        <v>7</v>
      </c>
      <c r="B8" s="3">
        <v>1067983.3396169899</v>
      </c>
      <c r="C8" s="3">
        <v>8139</v>
      </c>
      <c r="D8" s="3">
        <v>1451455.00675021</v>
      </c>
      <c r="E8" s="3">
        <v>10970462209.058901</v>
      </c>
      <c r="F8" s="3">
        <v>11611006070.932699</v>
      </c>
      <c r="G8" s="3">
        <v>22581468279.991699</v>
      </c>
      <c r="H8" s="3">
        <v>1316455465.08707</v>
      </c>
      <c r="I8" s="3">
        <v>1393320728.51193</v>
      </c>
      <c r="J8" s="2">
        <v>5.60474448237259</v>
      </c>
      <c r="K8" s="2">
        <v>6.3952555176274002</v>
      </c>
    </row>
    <row r="9" spans="1:11" x14ac:dyDescent="0.2">
      <c r="A9">
        <v>8</v>
      </c>
      <c r="B9" s="3">
        <v>1082721.2222724201</v>
      </c>
      <c r="C9" s="3">
        <v>7994</v>
      </c>
      <c r="D9" s="3">
        <v>1455780.8477189201</v>
      </c>
      <c r="E9" s="3">
        <v>13004168528.8622</v>
      </c>
      <c r="F9" s="3">
        <v>13682530316.6873</v>
      </c>
      <c r="G9" s="3">
        <v>26686698845.549599</v>
      </c>
      <c r="H9" s="3">
        <v>1560500223.46346</v>
      </c>
      <c r="I9" s="3">
        <v>1641903638.00248</v>
      </c>
      <c r="J9" s="2">
        <v>5.6361964344937903</v>
      </c>
      <c r="K9" s="2">
        <v>6.3638035655062</v>
      </c>
    </row>
    <row r="10" spans="1:11" x14ac:dyDescent="0.2">
      <c r="A10">
        <v>9</v>
      </c>
      <c r="B10" s="3">
        <v>1105513.4384469399</v>
      </c>
      <c r="C10" s="3">
        <v>7973</v>
      </c>
      <c r="D10" s="3">
        <v>1502376.64967517</v>
      </c>
      <c r="E10" s="3">
        <v>16290003517.1611</v>
      </c>
      <c r="F10" s="3">
        <v>16924231467.9618</v>
      </c>
      <c r="G10" s="3">
        <v>33214234985.122898</v>
      </c>
      <c r="H10" s="3">
        <v>1954800422.05933</v>
      </c>
      <c r="I10" s="3">
        <v>2030907776.1554101</v>
      </c>
      <c r="J10" s="2">
        <v>5.7100827530492904</v>
      </c>
      <c r="K10" s="2">
        <v>6.2899172469506999</v>
      </c>
    </row>
    <row r="11" spans="1:11" x14ac:dyDescent="0.2">
      <c r="A11">
        <v>10</v>
      </c>
      <c r="B11" s="3">
        <v>1036116.8248895</v>
      </c>
      <c r="C11" s="3">
        <v>7721</v>
      </c>
      <c r="D11" s="3">
        <v>1395352.09435702</v>
      </c>
      <c r="E11" s="3">
        <v>23569478323.445999</v>
      </c>
      <c r="F11" s="3">
        <v>24969615274.890202</v>
      </c>
      <c r="G11" s="3">
        <v>48539093598.336197</v>
      </c>
      <c r="H11" s="3">
        <v>2828337398.81352</v>
      </c>
      <c r="I11" s="3">
        <v>2996353832.9868302</v>
      </c>
      <c r="J11" s="2">
        <v>5.7933136419309097</v>
      </c>
      <c r="K11" s="2">
        <v>6.2066863580690796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FD776-7F29-1443-8F72-00AEDE6040D3}">
  <sheetPr>
    <tabColor rgb="FFFF0000"/>
  </sheetPr>
  <dimension ref="A1:M20"/>
  <sheetViews>
    <sheetView zoomScale="130" zoomScaleNormal="130" workbookViewId="0">
      <selection activeCell="E23" sqref="E23"/>
    </sheetView>
  </sheetViews>
  <sheetFormatPr baseColWidth="10" defaultRowHeight="16" x14ac:dyDescent="0.2"/>
  <cols>
    <col min="1" max="1" width="12.1640625" bestFit="1" customWidth="1"/>
    <col min="2" max="2" width="13" style="3" bestFit="1" customWidth="1"/>
    <col min="3" max="4" width="17.6640625" style="3" bestFit="1" customWidth="1"/>
    <col min="5" max="5" width="18.6640625" style="3" bestFit="1" customWidth="1"/>
    <col min="6" max="7" width="16.6640625" style="3" bestFit="1" customWidth="1"/>
    <col min="8" max="8" width="17.5" style="3" customWidth="1"/>
    <col min="9" max="9" width="15.83203125" style="3" customWidth="1"/>
    <col min="10" max="10" width="17.1640625" style="3" customWidth="1"/>
    <col min="11" max="11" width="15.1640625" style="3" customWidth="1"/>
    <col min="12" max="12" width="18.33203125" style="3" customWidth="1"/>
    <col min="13" max="13" width="15" style="3" customWidth="1"/>
  </cols>
  <sheetData>
    <row r="1" spans="1:13" s="4" customFormat="1" ht="85" x14ac:dyDescent="0.2">
      <c r="B1" s="5" t="s">
        <v>29</v>
      </c>
      <c r="C1" s="5"/>
      <c r="D1" s="5"/>
      <c r="E1" s="5" t="s">
        <v>30</v>
      </c>
      <c r="F1" s="5" t="s">
        <v>31</v>
      </c>
      <c r="G1" s="5" t="s">
        <v>32</v>
      </c>
      <c r="H1" s="5" t="s">
        <v>33</v>
      </c>
      <c r="I1" s="5"/>
      <c r="J1" s="5" t="s">
        <v>34</v>
      </c>
      <c r="K1" s="5"/>
      <c r="L1" s="5" t="s">
        <v>35</v>
      </c>
      <c r="M1" s="5"/>
    </row>
    <row r="2" spans="1:13" s="4" customFormat="1" ht="51" x14ac:dyDescent="0.2">
      <c r="A2" s="4" t="s">
        <v>0</v>
      </c>
      <c r="B2" s="5" t="s">
        <v>1</v>
      </c>
      <c r="C2" s="5" t="s">
        <v>19</v>
      </c>
      <c r="D2" s="5" t="s">
        <v>20</v>
      </c>
      <c r="E2" s="5" t="s">
        <v>6</v>
      </c>
      <c r="F2" s="5" t="s">
        <v>21</v>
      </c>
      <c r="G2" s="5" t="s">
        <v>22</v>
      </c>
      <c r="H2" s="7" t="s">
        <v>23</v>
      </c>
      <c r="I2" s="7" t="s">
        <v>24</v>
      </c>
      <c r="J2" s="5" t="s">
        <v>25</v>
      </c>
      <c r="K2" s="5" t="s">
        <v>26</v>
      </c>
      <c r="L2" s="7" t="s">
        <v>27</v>
      </c>
      <c r="M2" s="7" t="s">
        <v>28</v>
      </c>
    </row>
    <row r="3" spans="1:13" x14ac:dyDescent="0.2">
      <c r="A3">
        <v>1</v>
      </c>
      <c r="B3" s="3">
        <v>2747642.50515944</v>
      </c>
      <c r="C3" s="3">
        <v>12730887016.797501</v>
      </c>
      <c r="D3" s="3">
        <v>16287403643.337299</v>
      </c>
      <c r="E3" s="3">
        <v>29018290660.1348</v>
      </c>
      <c r="F3" s="3">
        <v>1527706442.0157001</v>
      </c>
      <c r="G3" s="3">
        <v>1954488437.20047</v>
      </c>
      <c r="H3" s="3">
        <v>14197591.3569442</v>
      </c>
      <c r="I3" s="3">
        <v>18774118.704969</v>
      </c>
      <c r="J3" s="1">
        <v>5.2646327790577203</v>
      </c>
      <c r="K3" s="1">
        <v>6.7353672209422699</v>
      </c>
      <c r="L3" s="1">
        <v>5.1671901749534204</v>
      </c>
      <c r="M3" s="1">
        <v>6.8328098250465699</v>
      </c>
    </row>
    <row r="4" spans="1:13" x14ac:dyDescent="0.2">
      <c r="A4">
        <v>2</v>
      </c>
      <c r="B4" s="3">
        <v>2748295.6540946802</v>
      </c>
      <c r="C4" s="3">
        <v>16171881744.9347</v>
      </c>
      <c r="D4" s="3">
        <v>18893257154.780602</v>
      </c>
      <c r="E4" s="3">
        <v>35065138899.715302</v>
      </c>
      <c r="F4" s="3">
        <v>1940625809.3921599</v>
      </c>
      <c r="G4" s="3">
        <v>2267190858.5736699</v>
      </c>
      <c r="H4" s="3">
        <v>14946499.8461629</v>
      </c>
      <c r="I4" s="3">
        <v>18033048.002973098</v>
      </c>
      <c r="J4" s="1">
        <v>5.5343451367532399</v>
      </c>
      <c r="K4" s="1">
        <v>6.4656548632467503</v>
      </c>
      <c r="L4" s="1">
        <v>5.4384614056694396</v>
      </c>
      <c r="M4" s="1">
        <v>6.5615385943305498</v>
      </c>
    </row>
    <row r="5" spans="1:13" x14ac:dyDescent="0.2">
      <c r="A5">
        <v>3</v>
      </c>
      <c r="B5" s="3">
        <v>2747874.69444041</v>
      </c>
      <c r="C5" s="3">
        <v>18492395560.589802</v>
      </c>
      <c r="D5" s="3">
        <v>20558976669.909401</v>
      </c>
      <c r="E5" s="3">
        <v>39051372230.499298</v>
      </c>
      <c r="F5" s="3">
        <v>2219087467.2707801</v>
      </c>
      <c r="G5" s="3">
        <v>2467077200.3891301</v>
      </c>
      <c r="H5" s="3">
        <v>15329533.4991266</v>
      </c>
      <c r="I5" s="3">
        <v>17644962.834158201</v>
      </c>
      <c r="J5" s="1">
        <v>5.6824826901669301</v>
      </c>
      <c r="K5" s="1">
        <v>6.3175173098330504</v>
      </c>
      <c r="L5" s="1">
        <v>5.5786872415040696</v>
      </c>
      <c r="M5" s="1">
        <v>6.4213127584959198</v>
      </c>
    </row>
    <row r="6" spans="1:13" x14ac:dyDescent="0.2">
      <c r="A6">
        <v>4</v>
      </c>
      <c r="B6" s="3">
        <v>2747979.4784429399</v>
      </c>
      <c r="C6" s="3">
        <v>21174220742.446899</v>
      </c>
      <c r="D6" s="3">
        <v>23060388456.8377</v>
      </c>
      <c r="E6" s="3">
        <v>44234609199.284698</v>
      </c>
      <c r="F6" s="3">
        <v>2540906489.0936298</v>
      </c>
      <c r="G6" s="3">
        <v>2767246614.8205199</v>
      </c>
      <c r="H6" s="3">
        <v>15461377.065963</v>
      </c>
      <c r="I6" s="3">
        <v>17514376.675352201</v>
      </c>
      <c r="J6" s="1">
        <v>5.7441594604044202</v>
      </c>
      <c r="K6" s="1">
        <v>6.2558405395955798</v>
      </c>
      <c r="L6" s="1">
        <v>5.6264528855665796</v>
      </c>
      <c r="M6" s="1">
        <v>6.3735471144334097</v>
      </c>
    </row>
    <row r="7" spans="1:13" x14ac:dyDescent="0.2">
      <c r="A7">
        <v>5</v>
      </c>
      <c r="B7" s="3">
        <v>2747628.8515828899</v>
      </c>
      <c r="C7" s="3">
        <v>23802239836.017101</v>
      </c>
      <c r="D7" s="3">
        <v>25029174922.970699</v>
      </c>
      <c r="E7" s="3">
        <v>48831414758.9879</v>
      </c>
      <c r="F7" s="3">
        <v>2856268780.3220501</v>
      </c>
      <c r="G7" s="3">
        <v>3003500990.7564902</v>
      </c>
      <c r="H7" s="3">
        <v>15696687.713298401</v>
      </c>
      <c r="I7" s="3">
        <v>17274858.5056962</v>
      </c>
      <c r="J7" s="1">
        <v>5.8492443735645203</v>
      </c>
      <c r="K7" s="1">
        <v>6.1507556264354699</v>
      </c>
      <c r="L7" s="1">
        <v>5.7128122323565202</v>
      </c>
      <c r="M7" s="1">
        <v>6.28718776764347</v>
      </c>
    </row>
    <row r="8" spans="1:13" x14ac:dyDescent="0.2">
      <c r="A8">
        <v>6</v>
      </c>
      <c r="B8" s="3">
        <v>2748336.9317767601</v>
      </c>
      <c r="C8" s="3">
        <v>26514380477.310398</v>
      </c>
      <c r="D8" s="3">
        <v>27502940702.588501</v>
      </c>
      <c r="E8" s="3">
        <v>54017321179.898903</v>
      </c>
      <c r="F8" s="3">
        <v>3181725657.2772498</v>
      </c>
      <c r="G8" s="3">
        <v>3300352884.3106198</v>
      </c>
      <c r="H8" s="3">
        <v>15788163.988909399</v>
      </c>
      <c r="I8" s="3">
        <v>17191879.192411698</v>
      </c>
      <c r="J8" s="1">
        <v>5.8901951962424297</v>
      </c>
      <c r="K8" s="1">
        <v>6.1098048037575703</v>
      </c>
      <c r="L8" s="1">
        <v>5.7446246151131799</v>
      </c>
      <c r="M8" s="1">
        <v>6.2553753848867997</v>
      </c>
    </row>
    <row r="9" spans="1:13" x14ac:dyDescent="0.2">
      <c r="A9">
        <v>7</v>
      </c>
      <c r="B9" s="3">
        <v>2747846.3569293302</v>
      </c>
      <c r="C9" s="3">
        <v>29742875498.603001</v>
      </c>
      <c r="D9" s="3">
        <v>30134718319.903301</v>
      </c>
      <c r="E9" s="3">
        <v>59877593818.506302</v>
      </c>
      <c r="F9" s="3">
        <v>3569145059.8323498</v>
      </c>
      <c r="G9" s="3">
        <v>3616166198.3884001</v>
      </c>
      <c r="H9" s="3">
        <v>16008851.3175279</v>
      </c>
      <c r="I9" s="3">
        <v>16965304.965624001</v>
      </c>
      <c r="J9" s="1">
        <v>5.9607356144782804</v>
      </c>
      <c r="K9" s="1">
        <v>6.0392643855217099</v>
      </c>
      <c r="L9" s="1">
        <v>5.8259630408948704</v>
      </c>
      <c r="M9" s="1">
        <v>6.1740369591051198</v>
      </c>
    </row>
    <row r="10" spans="1:13" x14ac:dyDescent="0.2">
      <c r="A10">
        <v>8</v>
      </c>
      <c r="B10" s="3">
        <v>2747984.4327531499</v>
      </c>
      <c r="C10" s="3">
        <v>33989743428.753101</v>
      </c>
      <c r="D10" s="3">
        <v>34113196809.400902</v>
      </c>
      <c r="E10" s="3">
        <v>68102940238.154099</v>
      </c>
      <c r="F10" s="3">
        <v>4078769211.4503798</v>
      </c>
      <c r="G10" s="3">
        <v>4093583617.1281099</v>
      </c>
      <c r="H10" s="3">
        <v>16123641.023296401</v>
      </c>
      <c r="I10" s="3">
        <v>16852172.1697414</v>
      </c>
      <c r="J10" s="1">
        <v>5.9891235197585297</v>
      </c>
      <c r="K10" s="1">
        <v>6.0108764802414703</v>
      </c>
      <c r="L10" s="1">
        <v>5.8674426358166896</v>
      </c>
      <c r="M10" s="1">
        <v>6.13255736418329</v>
      </c>
    </row>
    <row r="11" spans="1:13" x14ac:dyDescent="0.2">
      <c r="A11">
        <v>9</v>
      </c>
      <c r="B11" s="3">
        <v>2748042.5822946099</v>
      </c>
      <c r="C11" s="3">
        <v>40088129768.291</v>
      </c>
      <c r="D11" s="3">
        <v>39657623068.682297</v>
      </c>
      <c r="E11" s="3">
        <v>79745752836.973297</v>
      </c>
      <c r="F11" s="3">
        <v>4810575572.1949196</v>
      </c>
      <c r="G11" s="3">
        <v>4758914768.2418804</v>
      </c>
      <c r="H11" s="3">
        <v>16270241.273256199</v>
      </c>
      <c r="I11" s="3">
        <v>16706269.714278899</v>
      </c>
      <c r="J11" s="1">
        <v>6.0323909437902303</v>
      </c>
      <c r="K11" s="1">
        <v>5.9676090562097599</v>
      </c>
      <c r="L11" s="1">
        <v>5.9206656323609996</v>
      </c>
      <c r="M11" s="1">
        <v>6.0793343676389702</v>
      </c>
    </row>
    <row r="12" spans="1:13" x14ac:dyDescent="0.2">
      <c r="A12">
        <v>10</v>
      </c>
      <c r="B12" s="3">
        <v>2748063.5193039002</v>
      </c>
      <c r="C12" s="3">
        <v>59564986259.146202</v>
      </c>
      <c r="D12" s="3">
        <v>59038151385.299301</v>
      </c>
      <c r="E12" s="3">
        <v>118603137644.44501</v>
      </c>
      <c r="F12" s="3">
        <v>7147798351.0975399</v>
      </c>
      <c r="G12" s="3">
        <v>7084578166.2359104</v>
      </c>
      <c r="H12" s="3">
        <v>16482037.8189085</v>
      </c>
      <c r="I12" s="3">
        <v>16494724.412738301</v>
      </c>
      <c r="J12" s="1">
        <v>6.0266519866663</v>
      </c>
      <c r="K12" s="1">
        <v>5.9733480133336903</v>
      </c>
      <c r="L12" s="1">
        <v>5.9976917211445997</v>
      </c>
      <c r="M12" s="1">
        <v>6.0023082788553896</v>
      </c>
    </row>
    <row r="13" spans="1:13" x14ac:dyDescent="0.2">
      <c r="A13" t="s">
        <v>39</v>
      </c>
      <c r="B13" s="3">
        <f t="shared" ref="B13:G13" si="0">SUM(B3:B12)</f>
        <v>27479695.00677811</v>
      </c>
      <c r="C13" s="3">
        <f t="shared" si="0"/>
        <v>282271740332.88971</v>
      </c>
      <c r="D13" s="3">
        <f t="shared" si="0"/>
        <v>294275831133.71002</v>
      </c>
      <c r="E13" s="3">
        <f t="shared" si="0"/>
        <v>576547571466.59961</v>
      </c>
      <c r="F13" s="3">
        <f t="shared" si="0"/>
        <v>33872608839.946754</v>
      </c>
      <c r="G13" s="3">
        <f t="shared" si="0"/>
        <v>35313099736.045197</v>
      </c>
    </row>
    <row r="14" spans="1:13" x14ac:dyDescent="0.2">
      <c r="A14" t="s">
        <v>40</v>
      </c>
      <c r="C14" s="3">
        <f>C13*12</f>
        <v>3387260883994.6768</v>
      </c>
      <c r="D14" s="3">
        <f>D13*12</f>
        <v>3531309973604.5205</v>
      </c>
      <c r="E14" s="3">
        <f>E13*12</f>
        <v>6918570857599.1953</v>
      </c>
      <c r="F14" s="3">
        <f>F13*12</f>
        <v>406471306079.36108</v>
      </c>
      <c r="G14" s="3">
        <f>G13*12</f>
        <v>423757196832.54236</v>
      </c>
      <c r="J14" s="8">
        <f>F3/E3</f>
        <v>5.2646327790577152E-2</v>
      </c>
      <c r="L14" s="9">
        <f>H3/B3</f>
        <v>5.1671901749533982</v>
      </c>
    </row>
    <row r="15" spans="1:13" x14ac:dyDescent="0.2">
      <c r="A15" t="s">
        <v>41</v>
      </c>
      <c r="C15" s="3">
        <f>C14/1000000000</f>
        <v>3387.2608839946765</v>
      </c>
      <c r="D15" s="3">
        <f>D14/1000000000</f>
        <v>3531.3099736045206</v>
      </c>
      <c r="E15" s="3">
        <f>E14/1000000000</f>
        <v>6918.5708575991957</v>
      </c>
      <c r="F15" s="3">
        <f>F14/1000000000</f>
        <v>406.47130607936106</v>
      </c>
      <c r="G15" s="3">
        <f>G14/1000000000</f>
        <v>423.75719683254238</v>
      </c>
    </row>
    <row r="17" spans="6:9" x14ac:dyDescent="0.2">
      <c r="F17" s="3">
        <f>C3*0.12</f>
        <v>1527706442.0157001</v>
      </c>
      <c r="G17" s="3">
        <f>D3*0.12</f>
        <v>1954488437.2004759</v>
      </c>
    </row>
    <row r="18" spans="6:9" x14ac:dyDescent="0.2">
      <c r="I18" s="3" t="s">
        <v>36</v>
      </c>
    </row>
    <row r="19" spans="6:9" x14ac:dyDescent="0.2">
      <c r="I19" s="3" t="s">
        <v>37</v>
      </c>
    </row>
    <row r="20" spans="6:9" x14ac:dyDescent="0.2">
      <c r="I20" s="3" t="s">
        <v>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tax_share</vt:lpstr>
      <vt:lpstr>tax_share_bydecile</vt:lpstr>
      <vt:lpstr>budget_share</vt:lpstr>
      <vt:lpstr>main_summary</vt:lpstr>
      <vt:lpstr>exempt_by_category</vt:lpstr>
      <vt:lpstr>vat_paid_and_foregone</vt:lpstr>
      <vt:lpstr>senior_summary</vt:lpstr>
      <vt:lpstr>main_summary-xx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</dc:creator>
  <cp:lastModifiedBy>EU</cp:lastModifiedBy>
  <dcterms:created xsi:type="dcterms:W3CDTF">2025-11-24T10:59:39Z</dcterms:created>
  <dcterms:modified xsi:type="dcterms:W3CDTF">2025-11-26T08:04:33Z</dcterms:modified>
</cp:coreProperties>
</file>