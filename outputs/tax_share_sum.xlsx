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reiyu/Documents/Projects/vat_burden_analysis/outputs/"/>
    </mc:Choice>
  </mc:AlternateContent>
  <xr:revisionPtr revIDLastSave="0" documentId="13_ncr:9_{1E8BBEBE-098C-AC41-A740-A6B653ABAEF5}" xr6:coauthVersionLast="47" xr6:coauthVersionMax="47" xr10:uidLastSave="{00000000-0000-0000-0000-000000000000}"/>
  <bookViews>
    <workbookView xWindow="0" yWindow="0" windowWidth="38400" windowHeight="21600" activeTab="1" xr2:uid="{EE8D4940-C3F8-D340-AF33-192918B31EA6}"/>
  </bookViews>
  <sheets>
    <sheet name="tax_share" sheetId="1" r:id="rId1"/>
    <sheet name="main_summary" sheetId="2" r:id="rId2"/>
  </sheets>
  <calcPr calcId="0"/>
</workbook>
</file>

<file path=xl/calcChain.xml><?xml version="1.0" encoding="utf-8"?>
<calcChain xmlns="http://schemas.openxmlformats.org/spreadsheetml/2006/main">
  <c r="L14" i="2" l="1"/>
  <c r="J14" i="2"/>
  <c r="G14" i="2"/>
  <c r="F14" i="2"/>
  <c r="N4" i="1"/>
  <c r="N5" i="1"/>
  <c r="N6" i="1"/>
  <c r="N7" i="1"/>
  <c r="N8" i="1"/>
  <c r="N9" i="1"/>
  <c r="N10" i="1"/>
  <c r="N11" i="1"/>
  <c r="N12" i="1"/>
  <c r="N3" i="1"/>
</calcChain>
</file>

<file path=xl/sharedStrings.xml><?xml version="1.0" encoding="utf-8"?>
<sst xmlns="http://schemas.openxmlformats.org/spreadsheetml/2006/main" count="42" uniqueCount="39">
  <si>
    <t>NPCINC</t>
  </si>
  <si>
    <t>number_households</t>
  </si>
  <si>
    <t>total_income</t>
  </si>
  <si>
    <t>total_HH_expenditures</t>
  </si>
  <si>
    <t>vatable_expenditures</t>
  </si>
  <si>
    <t>exempt_expenditures</t>
  </si>
  <si>
    <t>total_expenditures</t>
  </si>
  <si>
    <t>vatable_share_exp</t>
  </si>
  <si>
    <t>exempt_share_exp</t>
  </si>
  <si>
    <t>vatable_share_income</t>
  </si>
  <si>
    <t>exempt_share_income</t>
  </si>
  <si>
    <t>vatable_share_HHexp</t>
  </si>
  <si>
    <t>exempt_share_HHexp</t>
  </si>
  <si>
    <t>Average_monthly_perHH</t>
  </si>
  <si>
    <t>Share to FIES expenditure</t>
  </si>
  <si>
    <t>Share to FIES income</t>
  </si>
  <si>
    <t>Share to computed total expenditure (vatable + exempt)</t>
  </si>
  <si>
    <t>Total monthly vatable spending</t>
  </si>
  <si>
    <t>Total exempt vatable spending</t>
  </si>
  <si>
    <t>total_vatable_expenditures</t>
  </si>
  <si>
    <t>total_exempt_expenditures</t>
  </si>
  <si>
    <t>total_vat_paid</t>
  </si>
  <si>
    <t>total_vat_foregone</t>
  </si>
  <si>
    <t>weighted_sum_vat_etr</t>
  </si>
  <si>
    <t>weighted_sum_foregone_etr</t>
  </si>
  <si>
    <t>population_vat_etr</t>
  </si>
  <si>
    <t>population_vat_foregone_etr</t>
  </si>
  <si>
    <t>avg_vat_etr</t>
  </si>
  <si>
    <t>avg_vat_foregone_etr</t>
  </si>
  <si>
    <t>population adjusted</t>
  </si>
  <si>
    <t>vatable + exempt</t>
  </si>
  <si>
    <t>vatable * 12%</t>
  </si>
  <si>
    <t>exempt * 12%</t>
  </si>
  <si>
    <t>vat_paid_to_total_expenditures * sum (RFACT)</t>
  </si>
  <si>
    <t>total_vat_paid / total_expenditures * 100</t>
  </si>
  <si>
    <t>weighted_sum_vat_etr / number_households</t>
  </si>
  <si>
    <t>I want to get the etr for each HH (or ROW), then get the average = average ETR</t>
  </si>
  <si>
    <t xml:space="preserve">or </t>
  </si>
  <si>
    <t>simple get the average ETR per decile / also check min and max of ETR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</si>
</sst>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3" fontId="0" fillId="0" borderId="0" xfId="1" applyFont="1"/>
    <xf numFmtId="164" fontId="0" fillId="0" borderId="0" xfId="1" applyNumberFormat="1" applyFont="1"/>
    <xf numFmtId="165" fontId="0" fillId="0" borderId="0" xfId="1" applyNumberFormat="1" applyFont="1"/>
    <xf numFmtId="0" fontId="0" fillId="0" borderId="0" xfId="0" applyAlignment="1">
      <alignment horizontal="center" vertical="center" wrapText="1"/>
    </xf>
    <xf numFmtId="165" fontId="0" fillId="0" borderId="0" xfId="1" applyNumberFormat="1" applyFont="1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165" fontId="14" fillId="0" borderId="0" xfId="1" applyNumberFormat="1" applyFont="1" applyAlignment="1">
      <alignment horizontal="center" vertical="center" wrapText="1"/>
    </xf>
    <xf numFmtId="10" fontId="0" fillId="0" borderId="0" xfId="2" applyNumberFormat="1" applyFont="1"/>
    <xf numFmtId="9" fontId="0" fillId="0" borderId="0" xfId="2" applyNumberFormat="1" applyFon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3A3A6-21B0-C748-9C6F-D3C4321EDE44}">
  <dimension ref="A1:N15"/>
  <sheetViews>
    <sheetView zoomScale="140" zoomScaleNormal="140" workbookViewId="0">
      <selection activeCell="J5" sqref="J5"/>
    </sheetView>
  </sheetViews>
  <sheetFormatPr baseColWidth="10" defaultRowHeight="16" x14ac:dyDescent="0.2"/>
  <cols>
    <col min="2" max="2" width="13" style="3" bestFit="1" customWidth="1"/>
    <col min="3" max="4" width="18.6640625" style="3" bestFit="1" customWidth="1"/>
    <col min="5" max="6" width="17.6640625" style="3" bestFit="1" customWidth="1"/>
    <col min="7" max="7" width="18.6640625" style="3" bestFit="1" customWidth="1"/>
    <col min="8" max="13" width="11" style="3" bestFit="1" customWidth="1"/>
    <col min="14" max="14" width="17.83203125" style="1" customWidth="1"/>
  </cols>
  <sheetData>
    <row r="1" spans="1:14" ht="40" customHeight="1" x14ac:dyDescent="0.2">
      <c r="E1" s="3" t="s">
        <v>17</v>
      </c>
      <c r="F1" s="3" t="s">
        <v>18</v>
      </c>
    </row>
    <row r="2" spans="1:14" s="4" customFormat="1" ht="51" x14ac:dyDescent="0.2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6" t="s">
        <v>13</v>
      </c>
    </row>
    <row r="3" spans="1:14" x14ac:dyDescent="0.2">
      <c r="A3">
        <v>1</v>
      </c>
      <c r="B3" s="3">
        <v>2747642.50515944</v>
      </c>
      <c r="C3" s="3">
        <v>32807166219.147499</v>
      </c>
      <c r="D3" s="3">
        <v>29276373226.599098</v>
      </c>
      <c r="E3" s="3">
        <v>12730887016.797501</v>
      </c>
      <c r="F3" s="3">
        <v>16287403643.337299</v>
      </c>
      <c r="G3" s="3">
        <v>29018290660.1348</v>
      </c>
      <c r="H3" s="2">
        <v>43.871939825480901</v>
      </c>
      <c r="I3" s="2">
        <v>56.128060174519</v>
      </c>
      <c r="J3" s="2">
        <v>38.805201679891702</v>
      </c>
      <c r="K3" s="2">
        <v>49.645871681021198</v>
      </c>
      <c r="L3" s="2">
        <v>43.485191687715101</v>
      </c>
      <c r="M3" s="2">
        <v>55.633269590030203</v>
      </c>
      <c r="N3" s="1">
        <f>G3/B3</f>
        <v>10561.159468760994</v>
      </c>
    </row>
    <row r="4" spans="1:14" x14ac:dyDescent="0.2">
      <c r="A4">
        <v>2</v>
      </c>
      <c r="B4" s="3">
        <v>2748295.6540946802</v>
      </c>
      <c r="C4" s="3">
        <v>41822410674.936996</v>
      </c>
      <c r="D4" s="3">
        <v>35426039310.566101</v>
      </c>
      <c r="E4" s="3">
        <v>16171881744.9347</v>
      </c>
      <c r="F4" s="3">
        <v>18893257154.780602</v>
      </c>
      <c r="G4" s="3">
        <v>35065138899.715302</v>
      </c>
      <c r="H4" s="2">
        <v>46.119542806277003</v>
      </c>
      <c r="I4" s="2">
        <v>53.880457193722897</v>
      </c>
      <c r="J4" s="2">
        <v>38.667980835992402</v>
      </c>
      <c r="K4" s="2">
        <v>45.174959668460197</v>
      </c>
      <c r="L4" s="2">
        <v>45.649703042336199</v>
      </c>
      <c r="M4" s="2">
        <v>53.331553632487299</v>
      </c>
      <c r="N4" s="1">
        <f t="shared" ref="N4:N12" si="0">G4/B4</f>
        <v>12758.867062745532</v>
      </c>
    </row>
    <row r="5" spans="1:14" x14ac:dyDescent="0.2">
      <c r="A5">
        <v>3</v>
      </c>
      <c r="B5" s="3">
        <v>2747874.69444041</v>
      </c>
      <c r="C5" s="3">
        <v>47728594014.963997</v>
      </c>
      <c r="D5" s="3">
        <v>39497871055.729301</v>
      </c>
      <c r="E5" s="3">
        <v>18492395560.589802</v>
      </c>
      <c r="F5" s="3">
        <v>20558976669.909401</v>
      </c>
      <c r="G5" s="3">
        <v>39051372230.499298</v>
      </c>
      <c r="H5" s="2">
        <v>47.354022418057802</v>
      </c>
      <c r="I5" s="2">
        <v>52.645977581942098</v>
      </c>
      <c r="J5" s="2">
        <v>38.744899032207101</v>
      </c>
      <c r="K5" s="2">
        <v>43.074758630986999</v>
      </c>
      <c r="L5" s="2">
        <v>46.8187146960353</v>
      </c>
      <c r="M5" s="2">
        <v>52.050847603664103</v>
      </c>
      <c r="N5" s="1">
        <f t="shared" si="0"/>
        <v>14211.48217184332</v>
      </c>
    </row>
    <row r="6" spans="1:14" x14ac:dyDescent="0.2">
      <c r="A6">
        <v>4</v>
      </c>
      <c r="B6" s="3">
        <v>2747979.4784429399</v>
      </c>
      <c r="C6" s="3">
        <v>55228987672.520798</v>
      </c>
      <c r="D6" s="3">
        <v>44792749154.822098</v>
      </c>
      <c r="E6" s="3">
        <v>21174220742.446899</v>
      </c>
      <c r="F6" s="3">
        <v>23060388456.8377</v>
      </c>
      <c r="G6" s="3">
        <v>44234609199.284698</v>
      </c>
      <c r="H6" s="2">
        <v>47.867995503370103</v>
      </c>
      <c r="I6" s="2">
        <v>52.132004496629797</v>
      </c>
      <c r="J6" s="2">
        <v>38.338962263800802</v>
      </c>
      <c r="K6" s="2">
        <v>41.754139318239503</v>
      </c>
      <c r="L6" s="2">
        <v>47.271536447249801</v>
      </c>
      <c r="M6" s="2">
        <v>51.4824137655215</v>
      </c>
      <c r="N6" s="1">
        <f t="shared" si="0"/>
        <v>16097.13956974268</v>
      </c>
    </row>
    <row r="7" spans="1:14" x14ac:dyDescent="0.2">
      <c r="A7">
        <v>5</v>
      </c>
      <c r="B7" s="3">
        <v>2747628.8515828899</v>
      </c>
      <c r="C7" s="3">
        <v>62300009849.796898</v>
      </c>
      <c r="D7" s="3">
        <v>49501029635.587097</v>
      </c>
      <c r="E7" s="3">
        <v>23802239836.017101</v>
      </c>
      <c r="F7" s="3">
        <v>25029174922.970699</v>
      </c>
      <c r="G7" s="3">
        <v>48831414758.9879</v>
      </c>
      <c r="H7" s="2">
        <v>48.743703113037597</v>
      </c>
      <c r="I7" s="2">
        <v>51.256296886962197</v>
      </c>
      <c r="J7" s="2">
        <v>38.205836392969204</v>
      </c>
      <c r="K7" s="2">
        <v>40.175234295010902</v>
      </c>
      <c r="L7" s="2">
        <v>48.084332813362899</v>
      </c>
      <c r="M7" s="2">
        <v>50.5629379979136</v>
      </c>
      <c r="N7" s="1">
        <f t="shared" si="0"/>
        <v>17772.201922707449</v>
      </c>
    </row>
    <row r="8" spans="1:14" x14ac:dyDescent="0.2">
      <c r="A8">
        <v>6</v>
      </c>
      <c r="B8" s="3">
        <v>2748336.9317767601</v>
      </c>
      <c r="C8" s="3">
        <v>70697712578.309692</v>
      </c>
      <c r="D8" s="3">
        <v>54853430904.834999</v>
      </c>
      <c r="E8" s="3">
        <v>26514380477.310398</v>
      </c>
      <c r="F8" s="3">
        <v>27502940702.588501</v>
      </c>
      <c r="G8" s="3">
        <v>54017321179.898903</v>
      </c>
      <c r="H8" s="2">
        <v>49.084959968686903</v>
      </c>
      <c r="I8" s="2">
        <v>50.915040031313097</v>
      </c>
      <c r="J8" s="2">
        <v>37.503873195248303</v>
      </c>
      <c r="K8" s="2">
        <v>38.902164864420897</v>
      </c>
      <c r="L8" s="2">
        <v>48.336776824972098</v>
      </c>
      <c r="M8" s="2">
        <v>50.138961681910502</v>
      </c>
      <c r="N8" s="1">
        <f t="shared" si="0"/>
        <v>19654.54837627113</v>
      </c>
    </row>
    <row r="9" spans="1:14" x14ac:dyDescent="0.2">
      <c r="A9">
        <v>7</v>
      </c>
      <c r="B9" s="3">
        <v>2747846.3569293302</v>
      </c>
      <c r="C9" s="3">
        <v>80541995781.497406</v>
      </c>
      <c r="D9" s="3">
        <v>60962714759.237099</v>
      </c>
      <c r="E9" s="3">
        <v>29742875498.603001</v>
      </c>
      <c r="F9" s="3">
        <v>30134718319.903301</v>
      </c>
      <c r="G9" s="3">
        <v>59877593818.506302</v>
      </c>
      <c r="H9" s="2">
        <v>49.672796787319001</v>
      </c>
      <c r="I9" s="2">
        <v>50.327203212680899</v>
      </c>
      <c r="J9" s="2">
        <v>36.928406367396803</v>
      </c>
      <c r="K9" s="2">
        <v>37.414913831606398</v>
      </c>
      <c r="L9" s="2">
        <v>48.788633537840099</v>
      </c>
      <c r="M9" s="2">
        <v>49.431391693949003</v>
      </c>
      <c r="N9" s="1">
        <f t="shared" si="0"/>
        <v>21790.735740195625</v>
      </c>
    </row>
    <row r="10" spans="1:14" x14ac:dyDescent="0.2">
      <c r="A10">
        <v>8</v>
      </c>
      <c r="B10" s="3">
        <v>2747984.4327531499</v>
      </c>
      <c r="C10" s="3">
        <v>95316514865.332199</v>
      </c>
      <c r="D10" s="3">
        <v>69592985603.748001</v>
      </c>
      <c r="E10" s="3">
        <v>33989743428.753101</v>
      </c>
      <c r="F10" s="3">
        <v>34113196809.400902</v>
      </c>
      <c r="G10" s="3">
        <v>68102940238.154099</v>
      </c>
      <c r="H10" s="2">
        <v>49.909362664654402</v>
      </c>
      <c r="I10" s="2">
        <v>50.090637335345598</v>
      </c>
      <c r="J10" s="2">
        <v>35.659868047814697</v>
      </c>
      <c r="K10" s="2">
        <v>35.789387450430397</v>
      </c>
      <c r="L10" s="2">
        <v>48.8407605075109</v>
      </c>
      <c r="M10" s="2">
        <v>49.018153932403898</v>
      </c>
      <c r="N10" s="1">
        <f t="shared" si="0"/>
        <v>24782.869737701949</v>
      </c>
    </row>
    <row r="11" spans="1:14" x14ac:dyDescent="0.2">
      <c r="A11">
        <v>9</v>
      </c>
      <c r="B11" s="3">
        <v>2748042.5822946099</v>
      </c>
      <c r="C11" s="3">
        <v>117372854152.933</v>
      </c>
      <c r="D11" s="3">
        <v>82061193028.969299</v>
      </c>
      <c r="E11" s="3">
        <v>40088129768.291</v>
      </c>
      <c r="F11" s="3">
        <v>39657623068.682297</v>
      </c>
      <c r="G11" s="3">
        <v>79745752836.973297</v>
      </c>
      <c r="H11" s="2">
        <v>50.269924531585197</v>
      </c>
      <c r="I11" s="2">
        <v>49.730075468414697</v>
      </c>
      <c r="J11" s="2">
        <v>34.154515588465898</v>
      </c>
      <c r="K11" s="2">
        <v>33.7877300120943</v>
      </c>
      <c r="L11" s="2">
        <v>48.851507379546597</v>
      </c>
      <c r="M11" s="2">
        <v>48.326890707867697</v>
      </c>
      <c r="N11" s="1">
        <f t="shared" si="0"/>
        <v>29019.111039533367</v>
      </c>
    </row>
    <row r="12" spans="1:14" x14ac:dyDescent="0.2">
      <c r="A12">
        <v>10</v>
      </c>
      <c r="B12" s="3">
        <v>2748063.5193039002</v>
      </c>
      <c r="C12" s="3">
        <v>205068163103.01001</v>
      </c>
      <c r="D12" s="3">
        <v>124958992792.82401</v>
      </c>
      <c r="E12" s="3">
        <v>59564986259.146202</v>
      </c>
      <c r="F12" s="3">
        <v>59038151385.299301</v>
      </c>
      <c r="G12" s="3">
        <v>118603137644.44501</v>
      </c>
      <c r="H12" s="2">
        <v>50.222099888885801</v>
      </c>
      <c r="I12" s="2">
        <v>49.7779001111141</v>
      </c>
      <c r="J12" s="2">
        <v>29.046432833762299</v>
      </c>
      <c r="K12" s="2">
        <v>28.7895256347729</v>
      </c>
      <c r="L12" s="2">
        <v>47.667626737278198</v>
      </c>
      <c r="M12" s="2">
        <v>47.246020527055002</v>
      </c>
      <c r="N12" s="1">
        <f t="shared" si="0"/>
        <v>43158.805031729338</v>
      </c>
    </row>
    <row r="13" spans="1:14" x14ac:dyDescent="0.2">
      <c r="H13" s="1"/>
    </row>
    <row r="14" spans="1:14" x14ac:dyDescent="0.2">
      <c r="J14" s="3" t="s">
        <v>15</v>
      </c>
      <c r="L14" s="3" t="s">
        <v>14</v>
      </c>
    </row>
    <row r="15" spans="1:14" x14ac:dyDescent="0.2">
      <c r="H15" s="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D776-7F29-1443-8F72-00AEDE6040D3}">
  <dimension ref="A1:M20"/>
  <sheetViews>
    <sheetView tabSelected="1" zoomScale="130" zoomScaleNormal="130" workbookViewId="0">
      <selection activeCell="I21" sqref="I21"/>
    </sheetView>
  </sheetViews>
  <sheetFormatPr baseColWidth="10" defaultRowHeight="16" x14ac:dyDescent="0.2"/>
  <cols>
    <col min="2" max="2" width="13" style="3" bestFit="1" customWidth="1"/>
    <col min="3" max="4" width="17.6640625" style="3" bestFit="1" customWidth="1"/>
    <col min="5" max="5" width="18.6640625" style="3" bestFit="1" customWidth="1"/>
    <col min="6" max="7" width="16.6640625" style="3" bestFit="1" customWidth="1"/>
    <col min="8" max="8" width="17.5" style="3" customWidth="1"/>
    <col min="9" max="9" width="15.83203125" style="3" customWidth="1"/>
    <col min="10" max="10" width="17.1640625" style="3" customWidth="1"/>
    <col min="11" max="11" width="15.1640625" style="3" customWidth="1"/>
    <col min="12" max="12" width="18.33203125" style="3" customWidth="1"/>
    <col min="13" max="13" width="15" style="3" customWidth="1"/>
  </cols>
  <sheetData>
    <row r="1" spans="1:13" s="4" customFormat="1" ht="85" x14ac:dyDescent="0.2">
      <c r="B1" s="5" t="s">
        <v>29</v>
      </c>
      <c r="C1" s="5"/>
      <c r="D1" s="5"/>
      <c r="E1" s="5" t="s">
        <v>30</v>
      </c>
      <c r="F1" s="5" t="s">
        <v>31</v>
      </c>
      <c r="G1" s="5" t="s">
        <v>32</v>
      </c>
      <c r="H1" s="5" t="s">
        <v>33</v>
      </c>
      <c r="I1" s="5"/>
      <c r="J1" s="5" t="s">
        <v>34</v>
      </c>
      <c r="K1" s="5"/>
      <c r="L1" s="5" t="s">
        <v>35</v>
      </c>
      <c r="M1" s="5"/>
    </row>
    <row r="2" spans="1:13" s="4" customFormat="1" ht="51" x14ac:dyDescent="0.2">
      <c r="A2" s="4" t="s">
        <v>0</v>
      </c>
      <c r="B2" s="5" t="s">
        <v>1</v>
      </c>
      <c r="C2" s="5" t="s">
        <v>19</v>
      </c>
      <c r="D2" s="5" t="s">
        <v>20</v>
      </c>
      <c r="E2" s="5" t="s">
        <v>6</v>
      </c>
      <c r="F2" s="5" t="s">
        <v>21</v>
      </c>
      <c r="G2" s="5" t="s">
        <v>22</v>
      </c>
      <c r="H2" s="7" t="s">
        <v>23</v>
      </c>
      <c r="I2" s="7" t="s">
        <v>24</v>
      </c>
      <c r="J2" s="5" t="s">
        <v>25</v>
      </c>
      <c r="K2" s="5" t="s">
        <v>26</v>
      </c>
      <c r="L2" s="7" t="s">
        <v>27</v>
      </c>
      <c r="M2" s="7" t="s">
        <v>28</v>
      </c>
    </row>
    <row r="3" spans="1:13" x14ac:dyDescent="0.2">
      <c r="A3">
        <v>1</v>
      </c>
      <c r="B3" s="3">
        <v>2747642.50515944</v>
      </c>
      <c r="C3" s="3">
        <v>12730887016.797501</v>
      </c>
      <c r="D3" s="3">
        <v>16287403643.337299</v>
      </c>
      <c r="E3" s="3">
        <v>29018290660.1348</v>
      </c>
      <c r="F3" s="3">
        <v>1527706442.0157001</v>
      </c>
      <c r="G3" s="3">
        <v>1954488437.20047</v>
      </c>
      <c r="H3" s="3">
        <v>14197591.3569442</v>
      </c>
      <c r="I3" s="3">
        <v>18774118.704969</v>
      </c>
      <c r="J3" s="1">
        <v>5.2646327790577203</v>
      </c>
      <c r="K3" s="1">
        <v>6.7353672209422699</v>
      </c>
      <c r="L3" s="1">
        <v>5.1671901749534204</v>
      </c>
      <c r="M3" s="1">
        <v>6.8328098250465699</v>
      </c>
    </row>
    <row r="4" spans="1:13" x14ac:dyDescent="0.2">
      <c r="A4">
        <v>2</v>
      </c>
      <c r="B4" s="3">
        <v>2748295.6540946802</v>
      </c>
      <c r="C4" s="3">
        <v>16171881744.9347</v>
      </c>
      <c r="D4" s="3">
        <v>18893257154.780602</v>
      </c>
      <c r="E4" s="3">
        <v>35065138899.715302</v>
      </c>
      <c r="F4" s="3">
        <v>1940625809.3921599</v>
      </c>
      <c r="G4" s="3">
        <v>2267190858.5736699</v>
      </c>
      <c r="H4" s="3">
        <v>14946499.8461629</v>
      </c>
      <c r="I4" s="3">
        <v>18033048.002973098</v>
      </c>
      <c r="J4" s="1">
        <v>5.5343451367532399</v>
      </c>
      <c r="K4" s="1">
        <v>6.4656548632467503</v>
      </c>
      <c r="L4" s="1">
        <v>5.4384614056694396</v>
      </c>
      <c r="M4" s="1">
        <v>6.5615385943305498</v>
      </c>
    </row>
    <row r="5" spans="1:13" x14ac:dyDescent="0.2">
      <c r="A5">
        <v>3</v>
      </c>
      <c r="B5" s="3">
        <v>2747874.69444041</v>
      </c>
      <c r="C5" s="3">
        <v>18492395560.589802</v>
      </c>
      <c r="D5" s="3">
        <v>20558976669.909401</v>
      </c>
      <c r="E5" s="3">
        <v>39051372230.499298</v>
      </c>
      <c r="F5" s="3">
        <v>2219087467.2707801</v>
      </c>
      <c r="G5" s="3">
        <v>2467077200.3891301</v>
      </c>
      <c r="H5" s="3">
        <v>15329533.4991266</v>
      </c>
      <c r="I5" s="3">
        <v>17644962.834158201</v>
      </c>
      <c r="J5" s="1">
        <v>5.6824826901669301</v>
      </c>
      <c r="K5" s="1">
        <v>6.3175173098330504</v>
      </c>
      <c r="L5" s="1">
        <v>5.5786872415040696</v>
      </c>
      <c r="M5" s="1">
        <v>6.4213127584959198</v>
      </c>
    </row>
    <row r="6" spans="1:13" x14ac:dyDescent="0.2">
      <c r="A6">
        <v>4</v>
      </c>
      <c r="B6" s="3">
        <v>2747979.4784429399</v>
      </c>
      <c r="C6" s="3">
        <v>21174220742.446899</v>
      </c>
      <c r="D6" s="3">
        <v>23060388456.8377</v>
      </c>
      <c r="E6" s="3">
        <v>44234609199.284698</v>
      </c>
      <c r="F6" s="3">
        <v>2540906489.0936298</v>
      </c>
      <c r="G6" s="3">
        <v>2767246614.8205199</v>
      </c>
      <c r="H6" s="3">
        <v>15461377.065963</v>
      </c>
      <c r="I6" s="3">
        <v>17514376.675352201</v>
      </c>
      <c r="J6" s="1">
        <v>5.7441594604044202</v>
      </c>
      <c r="K6" s="1">
        <v>6.2558405395955798</v>
      </c>
      <c r="L6" s="1">
        <v>5.6264528855665796</v>
      </c>
      <c r="M6" s="1">
        <v>6.3735471144334097</v>
      </c>
    </row>
    <row r="7" spans="1:13" x14ac:dyDescent="0.2">
      <c r="A7">
        <v>5</v>
      </c>
      <c r="B7" s="3">
        <v>2747628.8515828899</v>
      </c>
      <c r="C7" s="3">
        <v>23802239836.017101</v>
      </c>
      <c r="D7" s="3">
        <v>25029174922.970699</v>
      </c>
      <c r="E7" s="3">
        <v>48831414758.9879</v>
      </c>
      <c r="F7" s="3">
        <v>2856268780.3220501</v>
      </c>
      <c r="G7" s="3">
        <v>3003500990.7564902</v>
      </c>
      <c r="H7" s="3">
        <v>15696687.713298401</v>
      </c>
      <c r="I7" s="3">
        <v>17274858.5056962</v>
      </c>
      <c r="J7" s="1">
        <v>5.8492443735645203</v>
      </c>
      <c r="K7" s="1">
        <v>6.1507556264354699</v>
      </c>
      <c r="L7" s="1">
        <v>5.7128122323565202</v>
      </c>
      <c r="M7" s="1">
        <v>6.28718776764347</v>
      </c>
    </row>
    <row r="8" spans="1:13" x14ac:dyDescent="0.2">
      <c r="A8">
        <v>6</v>
      </c>
      <c r="B8" s="3">
        <v>2748336.9317767601</v>
      </c>
      <c r="C8" s="3">
        <v>26514380477.310398</v>
      </c>
      <c r="D8" s="3">
        <v>27502940702.588501</v>
      </c>
      <c r="E8" s="3">
        <v>54017321179.898903</v>
      </c>
      <c r="F8" s="3">
        <v>3181725657.2772498</v>
      </c>
      <c r="G8" s="3">
        <v>3300352884.3106198</v>
      </c>
      <c r="H8" s="3">
        <v>15788163.988909399</v>
      </c>
      <c r="I8" s="3">
        <v>17191879.192411698</v>
      </c>
      <c r="J8" s="1">
        <v>5.8901951962424297</v>
      </c>
      <c r="K8" s="1">
        <v>6.1098048037575703</v>
      </c>
      <c r="L8" s="1">
        <v>5.7446246151131799</v>
      </c>
      <c r="M8" s="1">
        <v>6.2553753848867997</v>
      </c>
    </row>
    <row r="9" spans="1:13" x14ac:dyDescent="0.2">
      <c r="A9">
        <v>7</v>
      </c>
      <c r="B9" s="3">
        <v>2747846.3569293302</v>
      </c>
      <c r="C9" s="3">
        <v>29742875498.603001</v>
      </c>
      <c r="D9" s="3">
        <v>30134718319.903301</v>
      </c>
      <c r="E9" s="3">
        <v>59877593818.506302</v>
      </c>
      <c r="F9" s="3">
        <v>3569145059.8323498</v>
      </c>
      <c r="G9" s="3">
        <v>3616166198.3884001</v>
      </c>
      <c r="H9" s="3">
        <v>16008851.3175279</v>
      </c>
      <c r="I9" s="3">
        <v>16965304.965624001</v>
      </c>
      <c r="J9" s="1">
        <v>5.9607356144782804</v>
      </c>
      <c r="K9" s="1">
        <v>6.0392643855217099</v>
      </c>
      <c r="L9" s="1">
        <v>5.8259630408948704</v>
      </c>
      <c r="M9" s="1">
        <v>6.1740369591051198</v>
      </c>
    </row>
    <row r="10" spans="1:13" x14ac:dyDescent="0.2">
      <c r="A10">
        <v>8</v>
      </c>
      <c r="B10" s="3">
        <v>2747984.4327531499</v>
      </c>
      <c r="C10" s="3">
        <v>33989743428.753101</v>
      </c>
      <c r="D10" s="3">
        <v>34113196809.400902</v>
      </c>
      <c r="E10" s="3">
        <v>68102940238.154099</v>
      </c>
      <c r="F10" s="3">
        <v>4078769211.4503798</v>
      </c>
      <c r="G10" s="3">
        <v>4093583617.1281099</v>
      </c>
      <c r="H10" s="3">
        <v>16123641.023296401</v>
      </c>
      <c r="I10" s="3">
        <v>16852172.1697414</v>
      </c>
      <c r="J10" s="1">
        <v>5.9891235197585297</v>
      </c>
      <c r="K10" s="1">
        <v>6.0108764802414703</v>
      </c>
      <c r="L10" s="1">
        <v>5.8674426358166896</v>
      </c>
      <c r="M10" s="1">
        <v>6.13255736418329</v>
      </c>
    </row>
    <row r="11" spans="1:13" x14ac:dyDescent="0.2">
      <c r="A11">
        <v>9</v>
      </c>
      <c r="B11" s="3">
        <v>2748042.5822946099</v>
      </c>
      <c r="C11" s="3">
        <v>40088129768.291</v>
      </c>
      <c r="D11" s="3">
        <v>39657623068.682297</v>
      </c>
      <c r="E11" s="3">
        <v>79745752836.973297</v>
      </c>
      <c r="F11" s="3">
        <v>4810575572.1949196</v>
      </c>
      <c r="G11" s="3">
        <v>4758914768.2418804</v>
      </c>
      <c r="H11" s="3">
        <v>16270241.273256199</v>
      </c>
      <c r="I11" s="3">
        <v>16706269.714278899</v>
      </c>
      <c r="J11" s="1">
        <v>6.0323909437902303</v>
      </c>
      <c r="K11" s="1">
        <v>5.9676090562097599</v>
      </c>
      <c r="L11" s="1">
        <v>5.9206656323609996</v>
      </c>
      <c r="M11" s="1">
        <v>6.0793343676389702</v>
      </c>
    </row>
    <row r="12" spans="1:13" x14ac:dyDescent="0.2">
      <c r="A12">
        <v>10</v>
      </c>
      <c r="B12" s="3">
        <v>2748063.5193039002</v>
      </c>
      <c r="C12" s="3">
        <v>59564986259.146202</v>
      </c>
      <c r="D12" s="3">
        <v>59038151385.299301</v>
      </c>
      <c r="E12" s="3">
        <v>118603137644.44501</v>
      </c>
      <c r="F12" s="3">
        <v>7147798351.0975399</v>
      </c>
      <c r="G12" s="3">
        <v>7084578166.2359104</v>
      </c>
      <c r="H12" s="3">
        <v>16482037.8189085</v>
      </c>
      <c r="I12" s="3">
        <v>16494724.412738301</v>
      </c>
      <c r="J12" s="1">
        <v>6.0266519866663</v>
      </c>
      <c r="K12" s="1">
        <v>5.9733480133336903</v>
      </c>
      <c r="L12" s="1">
        <v>5.9976917211445997</v>
      </c>
      <c r="M12" s="1">
        <v>6.0023082788553896</v>
      </c>
    </row>
    <row r="14" spans="1:13" x14ac:dyDescent="0.2">
      <c r="F14" s="3">
        <f>C3*0.12</f>
        <v>1527706442.0157001</v>
      </c>
      <c r="G14" s="3">
        <f>D3*0.12</f>
        <v>1954488437.2004759</v>
      </c>
      <c r="J14" s="8">
        <f>F3/E3</f>
        <v>5.2646327790577152E-2</v>
      </c>
      <c r="L14" s="9">
        <f>H3/B3</f>
        <v>5.1671901749533982</v>
      </c>
    </row>
    <row r="18" spans="9:9" x14ac:dyDescent="0.2">
      <c r="I18" s="3" t="s">
        <v>36</v>
      </c>
    </row>
    <row r="19" spans="9:9" x14ac:dyDescent="0.2">
      <c r="I19" s="3" t="s">
        <v>37</v>
      </c>
    </row>
    <row r="20" spans="9:9" x14ac:dyDescent="0.2">
      <c r="I20" s="3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tax_share</vt:lpstr>
      <vt:lpstr>main_summary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</dc:creator>
  <cp:lastModifiedBy>EU</cp:lastModifiedBy>
  <dcterms:created xsi:type="dcterms:W3CDTF">2025-11-24T10:59:39Z</dcterms:created>
  <dcterms:modified xsi:type="dcterms:W3CDTF">2025-11-24T11:38:25Z</dcterms:modified>
</cp:coreProperties>
</file>